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velyn\Downloads\"/>
    </mc:Choice>
  </mc:AlternateContent>
  <xr:revisionPtr revIDLastSave="0" documentId="13_ncr:1_{004AB9DF-CA14-4757-9A13-3AA3F1A81077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2" l="1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N3" i="2"/>
  <c r="M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5" i="2"/>
  <c r="I4" i="2"/>
  <c r="I3" i="2"/>
</calcChain>
</file>

<file path=xl/sharedStrings.xml><?xml version="1.0" encoding="utf-8"?>
<sst xmlns="http://schemas.openxmlformats.org/spreadsheetml/2006/main" count="434" uniqueCount="202">
  <si>
    <t>38 Provinsi</t>
  </si>
  <si>
    <t>Persentase Rumah Tangga Menurut Provinsi dan Bahan Bakar Utama untuk Memasak (Persen)</t>
  </si>
  <si>
    <t>Listrik</t>
  </si>
  <si>
    <t>Gas/Elpiji</t>
  </si>
  <si>
    <t>Minyak Tanah</t>
  </si>
  <si>
    <t>Arang/Briket</t>
  </si>
  <si>
    <t>Kayu</t>
  </si>
  <si>
    <t>Lainnya(1)</t>
  </si>
  <si>
    <t>Jumlah</t>
  </si>
  <si>
    <t>2022</t>
  </si>
  <si>
    <t>ACEH</t>
  </si>
  <si>
    <t>0.48</t>
  </si>
  <si>
    <t>94.25</t>
  </si>
  <si>
    <t>2.16</t>
  </si>
  <si>
    <t>0.01</t>
  </si>
  <si>
    <t>2.41</t>
  </si>
  <si>
    <t>0.68</t>
  </si>
  <si>
    <t>100</t>
  </si>
  <si>
    <t>SUMATERA UTARA</t>
  </si>
  <si>
    <t>0.53</t>
  </si>
  <si>
    <t>91.2</t>
  </si>
  <si>
    <t>1.45</t>
  </si>
  <si>
    <t>0</t>
  </si>
  <si>
    <t>6.33</t>
  </si>
  <si>
    <t>0.49</t>
  </si>
  <si>
    <t>SUMATERA BARAT</t>
  </si>
  <si>
    <t>0.39</t>
  </si>
  <si>
    <t>85.55</t>
  </si>
  <si>
    <t>2.31</t>
  </si>
  <si>
    <t>10.93</t>
  </si>
  <si>
    <t>0.81</t>
  </si>
  <si>
    <t>RIAU</t>
  </si>
  <si>
    <t>0.46</t>
  </si>
  <si>
    <t>94.58</t>
  </si>
  <si>
    <t>1.36</t>
  </si>
  <si>
    <t>0.73</t>
  </si>
  <si>
    <t>2.47</t>
  </si>
  <si>
    <t>0.4</t>
  </si>
  <si>
    <t>JAMBI</t>
  </si>
  <si>
    <t>0.6</t>
  </si>
  <si>
    <t>91.05</t>
  </si>
  <si>
    <t>2.09</t>
  </si>
  <si>
    <t>6.07</t>
  </si>
  <si>
    <t>0.18</t>
  </si>
  <si>
    <t>SUMATERA SELATAN</t>
  </si>
  <si>
    <t>0.16</t>
  </si>
  <si>
    <t>96.44</t>
  </si>
  <si>
    <t>0.27</t>
  </si>
  <si>
    <t>2.97</t>
  </si>
  <si>
    <t>0.15</t>
  </si>
  <si>
    <t>BENGKULU</t>
  </si>
  <si>
    <t>0.32</t>
  </si>
  <si>
    <t>94.64</t>
  </si>
  <si>
    <t>0.26</t>
  </si>
  <si>
    <t>4.59</t>
  </si>
  <si>
    <t>0.19</t>
  </si>
  <si>
    <t>LAMPUNG</t>
  </si>
  <si>
    <t>0.66</t>
  </si>
  <si>
    <t>90.99</t>
  </si>
  <si>
    <t>0.04</t>
  </si>
  <si>
    <t>8.19</t>
  </si>
  <si>
    <t>0.11</t>
  </si>
  <si>
    <t>KEP. BANGKA BELITUNG</t>
  </si>
  <si>
    <t>0.41</t>
  </si>
  <si>
    <t>96.61</t>
  </si>
  <si>
    <t>1.56</t>
  </si>
  <si>
    <t>1.29</t>
  </si>
  <si>
    <t>0.13</t>
  </si>
  <si>
    <t>KEP. RIAU</t>
  </si>
  <si>
    <t>0.78</t>
  </si>
  <si>
    <t>88.42</t>
  </si>
  <si>
    <t>6.8</t>
  </si>
  <si>
    <t>0.54</t>
  </si>
  <si>
    <t>3.35</t>
  </si>
  <si>
    <t>DKI JAKARTA</t>
  </si>
  <si>
    <t>0.56</t>
  </si>
  <si>
    <t>95.59</t>
  </si>
  <si>
    <t>3.31</t>
  </si>
  <si>
    <t>JAWA BARAT</t>
  </si>
  <si>
    <t>0.71</t>
  </si>
  <si>
    <t>92.89</t>
  </si>
  <si>
    <t>5.68</t>
  </si>
  <si>
    <t>JAWA TENGAH</t>
  </si>
  <si>
    <t>90.01</t>
  </si>
  <si>
    <t>0.03</t>
  </si>
  <si>
    <t>9.04</t>
  </si>
  <si>
    <t>0.42</t>
  </si>
  <si>
    <t>DI YOGYAKARTA</t>
  </si>
  <si>
    <t>0.69</t>
  </si>
  <si>
    <t>83.85</t>
  </si>
  <si>
    <t>0.05</t>
  </si>
  <si>
    <t>13.68</t>
  </si>
  <si>
    <t>1.59</t>
  </si>
  <si>
    <t>JAWA TIMUR</t>
  </si>
  <si>
    <t>0.55</t>
  </si>
  <si>
    <t>88.37</t>
  </si>
  <si>
    <t>0.14</t>
  </si>
  <si>
    <t>10.45</t>
  </si>
  <si>
    <t>BANTEN</t>
  </si>
  <si>
    <t>0.47</t>
  </si>
  <si>
    <t>91.93</t>
  </si>
  <si>
    <t>0.08</t>
  </si>
  <si>
    <t>0.02</t>
  </si>
  <si>
    <t>7.14</t>
  </si>
  <si>
    <t>0.37</t>
  </si>
  <si>
    <t>BALI</t>
  </si>
  <si>
    <t>87.55</t>
  </si>
  <si>
    <t>11.53</t>
  </si>
  <si>
    <t>0.63</t>
  </si>
  <si>
    <t>NUSA TENGGARA BARAT</t>
  </si>
  <si>
    <t>0.99</t>
  </si>
  <si>
    <t>87.17</t>
  </si>
  <si>
    <t>3.15</t>
  </si>
  <si>
    <t>8.29</t>
  </si>
  <si>
    <t>NUSA TENGGARA TIMUR</t>
  </si>
  <si>
    <t>0.57</t>
  </si>
  <si>
    <t>1.26</t>
  </si>
  <si>
    <t>29.07</t>
  </si>
  <si>
    <t>68.79</t>
  </si>
  <si>
    <t>0.31</t>
  </si>
  <si>
    <t>KALIMANTAN BARAT</t>
  </si>
  <si>
    <t>95.85</t>
  </si>
  <si>
    <t>3.62</t>
  </si>
  <si>
    <t>0.09</t>
  </si>
  <si>
    <t>KALIMANTAN TENGAH</t>
  </si>
  <si>
    <t>92.24</t>
  </si>
  <si>
    <t>1.51</t>
  </si>
  <si>
    <t>5.7</t>
  </si>
  <si>
    <t>KALIMANTAN SELATAN</t>
  </si>
  <si>
    <t>0.22</t>
  </si>
  <si>
    <t>90.16</t>
  </si>
  <si>
    <t>1.7</t>
  </si>
  <si>
    <t>7.46</t>
  </si>
  <si>
    <t>KALIMANTAN TIMUR</t>
  </si>
  <si>
    <t>0.06</t>
  </si>
  <si>
    <t>98.23</t>
  </si>
  <si>
    <t>0.28</t>
  </si>
  <si>
    <t>1</t>
  </si>
  <si>
    <t>KALIMANTAN UTARA</t>
  </si>
  <si>
    <t>0.95</t>
  </si>
  <si>
    <t>86.59</t>
  </si>
  <si>
    <t>1.89</t>
  </si>
  <si>
    <t>10.22</t>
  </si>
  <si>
    <t>0.35</t>
  </si>
  <si>
    <t>SULAWESI UTARA</t>
  </si>
  <si>
    <t>84.65</t>
  </si>
  <si>
    <t>9.5</t>
  </si>
  <si>
    <t>4.74</t>
  </si>
  <si>
    <t>SULAWESI TENGAH</t>
  </si>
  <si>
    <t>0.29</t>
  </si>
  <si>
    <t>74.55</t>
  </si>
  <si>
    <t>4.08</t>
  </si>
  <si>
    <t>0.59</t>
  </si>
  <si>
    <t>20.3</t>
  </si>
  <si>
    <t>SULAWESI SELATAN</t>
  </si>
  <si>
    <t>93.38</t>
  </si>
  <si>
    <t>5.8</t>
  </si>
  <si>
    <t>SULAWESI TENGGARA</t>
  </si>
  <si>
    <t>69.41</t>
  </si>
  <si>
    <t>17.54</t>
  </si>
  <si>
    <t>0.07</t>
  </si>
  <si>
    <t>12.82</t>
  </si>
  <si>
    <t>GORONTALO</t>
  </si>
  <si>
    <t>95.22</t>
  </si>
  <si>
    <t>0.67</t>
  </si>
  <si>
    <t>3</t>
  </si>
  <si>
    <t>0.79</t>
  </si>
  <si>
    <t>SULAWESI BARAT</t>
  </si>
  <si>
    <t>83.13</t>
  </si>
  <si>
    <t>0.1</t>
  </si>
  <si>
    <t>16.11</t>
  </si>
  <si>
    <t>MALUKU</t>
  </si>
  <si>
    <t>69.79</t>
  </si>
  <si>
    <t>27.92</t>
  </si>
  <si>
    <t>MALUKU UTARA</t>
  </si>
  <si>
    <t>0.34</t>
  </si>
  <si>
    <t>1.52</t>
  </si>
  <si>
    <t>54.26</t>
  </si>
  <si>
    <t>43.6</t>
  </si>
  <si>
    <t>PAPUA BARAT</t>
  </si>
  <si>
    <t>0.5</t>
  </si>
  <si>
    <t>6.01</t>
  </si>
  <si>
    <t>65.85</t>
  </si>
  <si>
    <t>27.19</t>
  </si>
  <si>
    <t>0.45</t>
  </si>
  <si>
    <t>PAPUA BARAT DAYA</t>
  </si>
  <si>
    <t>-</t>
  </si>
  <si>
    <t>PAPUA</t>
  </si>
  <si>
    <t>2.23</t>
  </si>
  <si>
    <t>32.86</t>
  </si>
  <si>
    <t>64.55</t>
  </si>
  <si>
    <t>PAPUA SELATAN</t>
  </si>
  <si>
    <t>PAPUA TENGAH</t>
  </si>
  <si>
    <t>PAPUA PEGUNUNGAN</t>
  </si>
  <si>
    <t>INDONESIA</t>
  </si>
  <si>
    <t>0.52</t>
  </si>
  <si>
    <t>87.12</t>
  </si>
  <si>
    <t>2.53</t>
  </si>
  <si>
    <t>9.19</t>
  </si>
  <si>
    <t>Penduduk</t>
  </si>
  <si>
    <t>Provinsi</t>
  </si>
  <si>
    <t>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</si>
</sst>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/>
    <xf numFmtId="2" fontId="1" fillId="0" borderId="1" xfId="1" applyNumberFormat="1" applyFill="1" applyBorder="1" applyAlignment="1">
      <alignment horizontal="right" vertical="center"/>
    </xf>
  </cellXfs>
  <cellStyles count="2">
    <cellStyle name="Normal" xfId="0" builtinId="0"/>
    <cellStyle name="Normal 2" xfId="1" xr:uid="{0FF90AB6-AC73-4DA3-8F41-E16C68643E11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opLeftCell="A24" workbookViewId="0">
      <selection activeCell="B5" sqref="B5:G43"/>
    </sheetView>
  </sheetViews>
  <sheetFormatPr defaultRowHeight="14.5" x14ac:dyDescent="0.35"/>
  <sheetData>
    <row r="1" spans="1:8" ht="15.5" x14ac:dyDescent="0.35">
      <c r="A1" s="1" t="s">
        <v>0</v>
      </c>
    </row>
    <row r="2" spans="1:8" ht="15.5" x14ac:dyDescent="0.35">
      <c r="A2" s="1"/>
      <c r="B2" s="1" t="s">
        <v>1</v>
      </c>
      <c r="C2" s="1"/>
      <c r="D2" s="1"/>
      <c r="E2" s="1"/>
      <c r="F2" s="1"/>
      <c r="G2" s="1"/>
      <c r="H2" s="1"/>
    </row>
    <row r="3" spans="1:8" ht="15.5" x14ac:dyDescent="0.35">
      <c r="A3" s="1"/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ht="15.5" x14ac:dyDescent="0.35">
      <c r="A4" s="1"/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  <row r="5" spans="1:8" ht="15.5" x14ac:dyDescent="0.3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</row>
    <row r="6" spans="1:8" ht="15.5" x14ac:dyDescent="0.35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17</v>
      </c>
    </row>
    <row r="7" spans="1:8" ht="15.5" x14ac:dyDescent="0.35">
      <c r="A7" t="s">
        <v>25</v>
      </c>
      <c r="B7" t="s">
        <v>26</v>
      </c>
      <c r="C7" t="s">
        <v>27</v>
      </c>
      <c r="D7" t="s">
        <v>28</v>
      </c>
      <c r="E7" t="s">
        <v>22</v>
      </c>
      <c r="F7" t="s">
        <v>29</v>
      </c>
      <c r="G7" t="s">
        <v>30</v>
      </c>
      <c r="H7" t="s">
        <v>17</v>
      </c>
    </row>
    <row r="8" spans="1:8" ht="15.5" x14ac:dyDescent="0.3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  <c r="H8" t="s">
        <v>17</v>
      </c>
    </row>
    <row r="9" spans="1:8" ht="15.5" x14ac:dyDescent="0.35">
      <c r="A9" t="s">
        <v>38</v>
      </c>
      <c r="B9" t="s">
        <v>39</v>
      </c>
      <c r="C9" t="s">
        <v>40</v>
      </c>
      <c r="D9" t="s">
        <v>41</v>
      </c>
      <c r="E9" t="s">
        <v>14</v>
      </c>
      <c r="F9" t="s">
        <v>42</v>
      </c>
      <c r="G9" t="s">
        <v>43</v>
      </c>
      <c r="H9" t="s">
        <v>17</v>
      </c>
    </row>
    <row r="10" spans="1:8" ht="15.5" x14ac:dyDescent="0.35">
      <c r="A10" t="s">
        <v>44</v>
      </c>
      <c r="B10" t="s">
        <v>45</v>
      </c>
      <c r="C10" t="s">
        <v>46</v>
      </c>
      <c r="D10" t="s">
        <v>47</v>
      </c>
      <c r="E10" t="s">
        <v>22</v>
      </c>
      <c r="F10" t="s">
        <v>48</v>
      </c>
      <c r="G10" t="s">
        <v>49</v>
      </c>
      <c r="H10" t="s">
        <v>17</v>
      </c>
    </row>
    <row r="11" spans="1:8" ht="15.5" x14ac:dyDescent="0.35">
      <c r="A11" t="s">
        <v>50</v>
      </c>
      <c r="B11" t="s">
        <v>51</v>
      </c>
      <c r="C11" t="s">
        <v>52</v>
      </c>
      <c r="D11" t="s">
        <v>53</v>
      </c>
      <c r="E11" t="s">
        <v>22</v>
      </c>
      <c r="F11" t="s">
        <v>54</v>
      </c>
      <c r="G11" t="s">
        <v>55</v>
      </c>
      <c r="H11" t="s">
        <v>17</v>
      </c>
    </row>
    <row r="12" spans="1:8" ht="15.5" x14ac:dyDescent="0.35">
      <c r="A12" t="s">
        <v>56</v>
      </c>
      <c r="B12" t="s">
        <v>57</v>
      </c>
      <c r="C12" t="s">
        <v>58</v>
      </c>
      <c r="D12" t="s">
        <v>59</v>
      </c>
      <c r="E12" t="s">
        <v>22</v>
      </c>
      <c r="F12" t="s">
        <v>60</v>
      </c>
      <c r="G12" t="s">
        <v>61</v>
      </c>
      <c r="H12" t="s">
        <v>17</v>
      </c>
    </row>
    <row r="13" spans="1:8" ht="15.5" x14ac:dyDescent="0.35">
      <c r="A13" t="s">
        <v>62</v>
      </c>
      <c r="B13" t="s">
        <v>63</v>
      </c>
      <c r="C13" t="s">
        <v>64</v>
      </c>
      <c r="D13" t="s">
        <v>65</v>
      </c>
      <c r="E13" t="s">
        <v>22</v>
      </c>
      <c r="F13" t="s">
        <v>66</v>
      </c>
      <c r="G13" t="s">
        <v>67</v>
      </c>
      <c r="H13" t="s">
        <v>17</v>
      </c>
    </row>
    <row r="14" spans="1:8" ht="15.5" x14ac:dyDescent="0.35">
      <c r="A14" t="s">
        <v>68</v>
      </c>
      <c r="B14" t="s">
        <v>69</v>
      </c>
      <c r="C14" t="s">
        <v>70</v>
      </c>
      <c r="D14" t="s">
        <v>71</v>
      </c>
      <c r="E14" t="s">
        <v>61</v>
      </c>
      <c r="F14" t="s">
        <v>72</v>
      </c>
      <c r="G14" t="s">
        <v>73</v>
      </c>
      <c r="H14" t="s">
        <v>17</v>
      </c>
    </row>
    <row r="15" spans="1:8" ht="15.5" x14ac:dyDescent="0.35">
      <c r="A15" t="s">
        <v>74</v>
      </c>
      <c r="B15" t="s">
        <v>75</v>
      </c>
      <c r="C15" t="s">
        <v>76</v>
      </c>
      <c r="D15" t="s">
        <v>72</v>
      </c>
      <c r="E15" t="s">
        <v>22</v>
      </c>
      <c r="F15" t="s">
        <v>22</v>
      </c>
      <c r="G15" t="s">
        <v>77</v>
      </c>
      <c r="H15" t="s">
        <v>17</v>
      </c>
    </row>
    <row r="16" spans="1:8" ht="15.5" x14ac:dyDescent="0.35">
      <c r="A16" t="s">
        <v>78</v>
      </c>
      <c r="B16" t="s">
        <v>79</v>
      </c>
      <c r="C16" t="s">
        <v>80</v>
      </c>
      <c r="D16" t="s">
        <v>49</v>
      </c>
      <c r="E16" t="s">
        <v>14</v>
      </c>
      <c r="F16" t="s">
        <v>81</v>
      </c>
      <c r="G16" t="s">
        <v>75</v>
      </c>
      <c r="H16" t="s">
        <v>17</v>
      </c>
    </row>
    <row r="17" spans="1:8" ht="15.5" x14ac:dyDescent="0.35">
      <c r="A17" t="s">
        <v>82</v>
      </c>
      <c r="B17" t="s">
        <v>32</v>
      </c>
      <c r="C17" t="s">
        <v>83</v>
      </c>
      <c r="D17" t="s">
        <v>59</v>
      </c>
      <c r="E17" t="s">
        <v>84</v>
      </c>
      <c r="F17" t="s">
        <v>85</v>
      </c>
      <c r="G17" t="s">
        <v>86</v>
      </c>
      <c r="H17" t="s">
        <v>17</v>
      </c>
    </row>
    <row r="18" spans="1:8" ht="15.5" x14ac:dyDescent="0.35">
      <c r="A18" t="s">
        <v>87</v>
      </c>
      <c r="B18" t="s">
        <v>88</v>
      </c>
      <c r="C18" t="s">
        <v>89</v>
      </c>
      <c r="D18" t="s">
        <v>90</v>
      </c>
      <c r="E18" t="s">
        <v>49</v>
      </c>
      <c r="F18" t="s">
        <v>91</v>
      </c>
      <c r="G18" t="s">
        <v>92</v>
      </c>
      <c r="H18" t="s">
        <v>17</v>
      </c>
    </row>
    <row r="19" spans="1:8" ht="15.5" x14ac:dyDescent="0.35">
      <c r="A19" t="s">
        <v>93</v>
      </c>
      <c r="B19" t="s">
        <v>94</v>
      </c>
      <c r="C19" t="s">
        <v>95</v>
      </c>
      <c r="D19" t="s">
        <v>96</v>
      </c>
      <c r="E19" t="s">
        <v>14</v>
      </c>
      <c r="F19" t="s">
        <v>97</v>
      </c>
      <c r="G19" t="s">
        <v>11</v>
      </c>
      <c r="H19" t="s">
        <v>17</v>
      </c>
    </row>
    <row r="20" spans="1:8" ht="15.5" x14ac:dyDescent="0.35">
      <c r="A20" t="s">
        <v>98</v>
      </c>
      <c r="B20" t="s">
        <v>99</v>
      </c>
      <c r="C20" t="s">
        <v>100</v>
      </c>
      <c r="D20" t="s">
        <v>101</v>
      </c>
      <c r="E20" t="s">
        <v>102</v>
      </c>
      <c r="F20" t="s">
        <v>103</v>
      </c>
      <c r="G20" t="s">
        <v>104</v>
      </c>
      <c r="H20" t="s">
        <v>17</v>
      </c>
    </row>
    <row r="21" spans="1:8" ht="15.5" x14ac:dyDescent="0.35">
      <c r="A21" t="s">
        <v>105</v>
      </c>
      <c r="B21" t="s">
        <v>53</v>
      </c>
      <c r="C21" t="s">
        <v>106</v>
      </c>
      <c r="D21" t="s">
        <v>84</v>
      </c>
      <c r="E21" t="s">
        <v>22</v>
      </c>
      <c r="F21" t="s">
        <v>107</v>
      </c>
      <c r="G21" t="s">
        <v>108</v>
      </c>
      <c r="H21" t="s">
        <v>17</v>
      </c>
    </row>
    <row r="22" spans="1:8" ht="15.5" x14ac:dyDescent="0.35">
      <c r="A22" t="s">
        <v>109</v>
      </c>
      <c r="B22" t="s">
        <v>110</v>
      </c>
      <c r="C22" t="s">
        <v>111</v>
      </c>
      <c r="D22" t="s">
        <v>112</v>
      </c>
      <c r="E22" t="s">
        <v>14</v>
      </c>
      <c r="F22" t="s">
        <v>113</v>
      </c>
      <c r="G22" t="s">
        <v>26</v>
      </c>
      <c r="H22" t="s">
        <v>17</v>
      </c>
    </row>
    <row r="23" spans="1:8" ht="15.5" x14ac:dyDescent="0.35">
      <c r="A23" t="s">
        <v>114</v>
      </c>
      <c r="B23" t="s">
        <v>115</v>
      </c>
      <c r="C23" t="s">
        <v>116</v>
      </c>
      <c r="D23" t="s">
        <v>117</v>
      </c>
      <c r="E23" t="s">
        <v>22</v>
      </c>
      <c r="F23" t="s">
        <v>118</v>
      </c>
      <c r="G23" t="s">
        <v>119</v>
      </c>
      <c r="H23" t="s">
        <v>17</v>
      </c>
    </row>
    <row r="24" spans="1:8" ht="15.5" x14ac:dyDescent="0.35">
      <c r="A24" t="s">
        <v>120</v>
      </c>
      <c r="B24" t="s">
        <v>86</v>
      </c>
      <c r="C24" t="s">
        <v>121</v>
      </c>
      <c r="D24" t="s">
        <v>102</v>
      </c>
      <c r="E24" t="s">
        <v>22</v>
      </c>
      <c r="F24" t="s">
        <v>122</v>
      </c>
      <c r="G24" t="s">
        <v>123</v>
      </c>
      <c r="H24" t="s">
        <v>17</v>
      </c>
    </row>
    <row r="25" spans="1:8" ht="15.5" x14ac:dyDescent="0.35">
      <c r="A25" t="s">
        <v>124</v>
      </c>
      <c r="B25" t="s">
        <v>37</v>
      </c>
      <c r="C25" t="s">
        <v>125</v>
      </c>
      <c r="D25" t="s">
        <v>126</v>
      </c>
      <c r="E25" t="s">
        <v>22</v>
      </c>
      <c r="F25" t="s">
        <v>127</v>
      </c>
      <c r="G25" t="s">
        <v>96</v>
      </c>
      <c r="H25" t="s">
        <v>17</v>
      </c>
    </row>
    <row r="26" spans="1:8" ht="15.5" x14ac:dyDescent="0.35">
      <c r="A26" t="s">
        <v>128</v>
      </c>
      <c r="B26" t="s">
        <v>129</v>
      </c>
      <c r="C26" t="s">
        <v>130</v>
      </c>
      <c r="D26" t="s">
        <v>131</v>
      </c>
      <c r="E26" t="s">
        <v>22</v>
      </c>
      <c r="F26" t="s">
        <v>132</v>
      </c>
      <c r="G26" t="s">
        <v>32</v>
      </c>
      <c r="H26" t="s">
        <v>17</v>
      </c>
    </row>
    <row r="27" spans="1:8" ht="15.5" x14ac:dyDescent="0.35">
      <c r="A27" t="s">
        <v>133</v>
      </c>
      <c r="B27" t="s">
        <v>134</v>
      </c>
      <c r="C27" t="s">
        <v>135</v>
      </c>
      <c r="D27" t="s">
        <v>136</v>
      </c>
      <c r="E27" t="s">
        <v>14</v>
      </c>
      <c r="F27" t="s">
        <v>137</v>
      </c>
      <c r="G27" t="s">
        <v>63</v>
      </c>
      <c r="H27" t="s">
        <v>17</v>
      </c>
    </row>
    <row r="28" spans="1:8" ht="15.5" x14ac:dyDescent="0.35">
      <c r="A28" t="s">
        <v>138</v>
      </c>
      <c r="B28" t="s">
        <v>139</v>
      </c>
      <c r="C28" t="s">
        <v>140</v>
      </c>
      <c r="D28" t="s">
        <v>141</v>
      </c>
      <c r="E28" t="s">
        <v>22</v>
      </c>
      <c r="F28" t="s">
        <v>142</v>
      </c>
      <c r="G28" t="s">
        <v>143</v>
      </c>
      <c r="H28" t="s">
        <v>17</v>
      </c>
    </row>
    <row r="29" spans="1:8" ht="15.5" x14ac:dyDescent="0.35">
      <c r="A29" t="s">
        <v>144</v>
      </c>
      <c r="B29" t="s">
        <v>37</v>
      </c>
      <c r="C29" t="s">
        <v>145</v>
      </c>
      <c r="D29" t="s">
        <v>146</v>
      </c>
      <c r="E29" t="s">
        <v>102</v>
      </c>
      <c r="F29" t="s">
        <v>147</v>
      </c>
      <c r="G29" t="s">
        <v>88</v>
      </c>
      <c r="H29" t="s">
        <v>17</v>
      </c>
    </row>
    <row r="30" spans="1:8" ht="15.5" x14ac:dyDescent="0.3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153</v>
      </c>
      <c r="G30" t="s">
        <v>55</v>
      </c>
      <c r="H30" t="s">
        <v>17</v>
      </c>
    </row>
    <row r="31" spans="1:8" ht="15.5" x14ac:dyDescent="0.35">
      <c r="A31" t="s">
        <v>154</v>
      </c>
      <c r="B31" t="s">
        <v>37</v>
      </c>
      <c r="C31" t="s">
        <v>155</v>
      </c>
      <c r="D31" t="s">
        <v>102</v>
      </c>
      <c r="E31" t="s">
        <v>67</v>
      </c>
      <c r="F31" t="s">
        <v>156</v>
      </c>
      <c r="G31" t="s">
        <v>53</v>
      </c>
      <c r="H31" t="s">
        <v>17</v>
      </c>
    </row>
    <row r="32" spans="1:8" ht="15.5" x14ac:dyDescent="0.35">
      <c r="A32" t="s">
        <v>157</v>
      </c>
      <c r="B32" t="s">
        <v>14</v>
      </c>
      <c r="C32" t="s">
        <v>158</v>
      </c>
      <c r="D32" t="s">
        <v>159</v>
      </c>
      <c r="E32" t="s">
        <v>160</v>
      </c>
      <c r="F32" t="s">
        <v>161</v>
      </c>
      <c r="G32" t="s">
        <v>96</v>
      </c>
      <c r="H32" t="s">
        <v>17</v>
      </c>
    </row>
    <row r="33" spans="1:8" ht="15.5" x14ac:dyDescent="0.35">
      <c r="A33" t="s">
        <v>162</v>
      </c>
      <c r="B33" t="s">
        <v>51</v>
      </c>
      <c r="C33" t="s">
        <v>163</v>
      </c>
      <c r="D33" t="s">
        <v>164</v>
      </c>
      <c r="E33" t="s">
        <v>22</v>
      </c>
      <c r="F33" t="s">
        <v>165</v>
      </c>
      <c r="G33" t="s">
        <v>166</v>
      </c>
      <c r="H33" t="s">
        <v>17</v>
      </c>
    </row>
    <row r="34" spans="1:8" ht="15.5" x14ac:dyDescent="0.35">
      <c r="A34" t="s">
        <v>167</v>
      </c>
      <c r="B34" t="s">
        <v>11</v>
      </c>
      <c r="C34" t="s">
        <v>168</v>
      </c>
      <c r="D34" t="s">
        <v>59</v>
      </c>
      <c r="E34" t="s">
        <v>169</v>
      </c>
      <c r="F34" t="s">
        <v>170</v>
      </c>
      <c r="G34" t="s">
        <v>49</v>
      </c>
      <c r="H34" t="s">
        <v>17</v>
      </c>
    </row>
    <row r="35" spans="1:8" ht="15.5" x14ac:dyDescent="0.35">
      <c r="A35" t="s">
        <v>171</v>
      </c>
      <c r="B35" t="s">
        <v>67</v>
      </c>
      <c r="C35" t="s">
        <v>21</v>
      </c>
      <c r="D35" t="s">
        <v>172</v>
      </c>
      <c r="E35" t="s">
        <v>102</v>
      </c>
      <c r="F35" t="s">
        <v>173</v>
      </c>
      <c r="G35" t="s">
        <v>88</v>
      </c>
      <c r="H35" t="s">
        <v>17</v>
      </c>
    </row>
    <row r="36" spans="1:8" ht="15.5" x14ac:dyDescent="0.35">
      <c r="A36" t="s">
        <v>174</v>
      </c>
      <c r="B36" t="s">
        <v>175</v>
      </c>
      <c r="C36" t="s">
        <v>176</v>
      </c>
      <c r="D36" t="s">
        <v>177</v>
      </c>
      <c r="E36" t="s">
        <v>84</v>
      </c>
      <c r="F36" t="s">
        <v>178</v>
      </c>
      <c r="G36" t="s">
        <v>53</v>
      </c>
      <c r="H36" t="s">
        <v>17</v>
      </c>
    </row>
    <row r="37" spans="1:8" ht="15.5" x14ac:dyDescent="0.35">
      <c r="A37" t="s">
        <v>179</v>
      </c>
      <c r="B37" t="s">
        <v>180</v>
      </c>
      <c r="C37" t="s">
        <v>181</v>
      </c>
      <c r="D37" t="s">
        <v>182</v>
      </c>
      <c r="E37" t="s">
        <v>22</v>
      </c>
      <c r="F37" t="s">
        <v>183</v>
      </c>
      <c r="G37" t="s">
        <v>184</v>
      </c>
      <c r="H37" t="s">
        <v>17</v>
      </c>
    </row>
    <row r="38" spans="1:8" ht="15.5" x14ac:dyDescent="0.35">
      <c r="A38" t="s">
        <v>185</v>
      </c>
      <c r="B38" t="s">
        <v>186</v>
      </c>
      <c r="C38" t="s">
        <v>186</v>
      </c>
      <c r="D38" t="s">
        <v>186</v>
      </c>
      <c r="E38" t="s">
        <v>186</v>
      </c>
      <c r="F38" t="s">
        <v>186</v>
      </c>
      <c r="G38" t="s">
        <v>186</v>
      </c>
      <c r="H38" t="s">
        <v>186</v>
      </c>
    </row>
    <row r="39" spans="1:8" ht="15.5" x14ac:dyDescent="0.35">
      <c r="A39" t="s">
        <v>187</v>
      </c>
      <c r="B39" t="s">
        <v>45</v>
      </c>
      <c r="C39" t="s">
        <v>188</v>
      </c>
      <c r="D39" t="s">
        <v>189</v>
      </c>
      <c r="E39" t="s">
        <v>123</v>
      </c>
      <c r="F39" t="s">
        <v>190</v>
      </c>
      <c r="G39" t="s">
        <v>61</v>
      </c>
      <c r="H39" t="s">
        <v>17</v>
      </c>
    </row>
    <row r="40" spans="1:8" ht="15.5" x14ac:dyDescent="0.35">
      <c r="A40" t="s">
        <v>191</v>
      </c>
      <c r="B40" t="s">
        <v>186</v>
      </c>
      <c r="C40" t="s">
        <v>186</v>
      </c>
      <c r="D40" t="s">
        <v>186</v>
      </c>
      <c r="E40" t="s">
        <v>186</v>
      </c>
      <c r="F40" t="s">
        <v>186</v>
      </c>
      <c r="G40" t="s">
        <v>186</v>
      </c>
      <c r="H40" t="s">
        <v>186</v>
      </c>
    </row>
    <row r="41" spans="1:8" ht="15.5" x14ac:dyDescent="0.35">
      <c r="A41" t="s">
        <v>192</v>
      </c>
      <c r="B41" t="s">
        <v>186</v>
      </c>
      <c r="C41" t="s">
        <v>186</v>
      </c>
      <c r="D41" t="s">
        <v>186</v>
      </c>
      <c r="E41" t="s">
        <v>186</v>
      </c>
      <c r="F41" t="s">
        <v>186</v>
      </c>
      <c r="G41" t="s">
        <v>186</v>
      </c>
      <c r="H41" t="s">
        <v>186</v>
      </c>
    </row>
    <row r="42" spans="1:8" ht="15.5" x14ac:dyDescent="0.35">
      <c r="A42" t="s">
        <v>193</v>
      </c>
      <c r="B42" t="s">
        <v>186</v>
      </c>
      <c r="C42" t="s">
        <v>186</v>
      </c>
      <c r="D42" t="s">
        <v>186</v>
      </c>
      <c r="E42" t="s">
        <v>186</v>
      </c>
      <c r="F42" t="s">
        <v>186</v>
      </c>
      <c r="G42" t="s">
        <v>186</v>
      </c>
      <c r="H42" t="s">
        <v>186</v>
      </c>
    </row>
    <row r="43" spans="1:8" ht="15.5" x14ac:dyDescent="0.35">
      <c r="A43" t="s">
        <v>194</v>
      </c>
      <c r="B43" t="s">
        <v>195</v>
      </c>
      <c r="C43" t="s">
        <v>196</v>
      </c>
      <c r="D43" t="s">
        <v>197</v>
      </c>
      <c r="E43" t="s">
        <v>59</v>
      </c>
      <c r="F43" t="s">
        <v>198</v>
      </c>
      <c r="G43" t="s">
        <v>152</v>
      </c>
      <c r="H43" t="s">
        <v>17</v>
      </c>
    </row>
  </sheetData>
  <mergeCells count="2">
    <mergeCell ref="A1:A4"/>
    <mergeCell ref="B2:H2"/>
  </mergeCells>
  <pageMargins left="0.7" right="0.7" top="0.75" bottom="0.75" header="0.3" footer="0.3"/>
  <ignoredErrors>
    <ignoredError sqref="A1:H4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3BBD-0902-43D8-97B7-086A21B687C9}">
  <dimension ref="A2:N37"/>
  <sheetViews>
    <sheetView workbookViewId="0">
      <selection sqref="A1:A1048576"/>
    </sheetView>
  </sheetViews>
  <sheetFormatPr defaultRowHeight="15.5" x14ac:dyDescent="0.35"/>
  <cols>
    <col min="8" max="8" width="10.33203125" bestFit="1" customWidth="1"/>
    <col min="9" max="10" width="9.75" bestFit="1" customWidth="1"/>
  </cols>
  <sheetData>
    <row r="2" spans="1:14" x14ac:dyDescent="0.35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199</v>
      </c>
      <c r="I2" t="s">
        <v>2</v>
      </c>
      <c r="J2" t="s">
        <v>3</v>
      </c>
      <c r="K2" t="s">
        <v>4</v>
      </c>
      <c r="L2" t="s">
        <v>5</v>
      </c>
      <c r="M2" t="s">
        <v>6</v>
      </c>
      <c r="N2" t="s">
        <v>7</v>
      </c>
    </row>
    <row r="3" spans="1:14" x14ac:dyDescent="0.35">
      <c r="A3" t="s">
        <v>10</v>
      </c>
      <c r="B3">
        <v>0.48</v>
      </c>
      <c r="C3">
        <v>94.25</v>
      </c>
      <c r="D3">
        <v>2.16</v>
      </c>
      <c r="E3">
        <v>0.01</v>
      </c>
      <c r="F3">
        <v>2.41</v>
      </c>
      <c r="G3">
        <v>0.68</v>
      </c>
      <c r="H3" s="2">
        <v>1282832</v>
      </c>
      <c r="I3">
        <f>B3*$H$3</f>
        <v>615759.35999999999</v>
      </c>
      <c r="J3">
        <f>C3*H3</f>
        <v>120906916</v>
      </c>
      <c r="K3">
        <f>D3*H3</f>
        <v>2770917.12</v>
      </c>
      <c r="L3">
        <f>E3*H3</f>
        <v>12828.32</v>
      </c>
      <c r="M3">
        <f>F3*H3</f>
        <v>3091625.12</v>
      </c>
      <c r="N3">
        <f>G3*H3</f>
        <v>872325.76</v>
      </c>
    </row>
    <row r="4" spans="1:14" x14ac:dyDescent="0.35">
      <c r="A4" t="s">
        <v>18</v>
      </c>
      <c r="B4">
        <v>0.53</v>
      </c>
      <c r="C4">
        <v>91.2</v>
      </c>
      <c r="D4">
        <v>1.45</v>
      </c>
      <c r="E4" t="s">
        <v>22</v>
      </c>
      <c r="F4">
        <v>6.33</v>
      </c>
      <c r="G4">
        <v>0.49</v>
      </c>
      <c r="H4" s="2">
        <v>3527273</v>
      </c>
      <c r="I4">
        <f>B4*$H$4</f>
        <v>1869454.6900000002</v>
      </c>
      <c r="J4">
        <f t="shared" ref="J4:J37" si="0">C4*H4</f>
        <v>321687297.60000002</v>
      </c>
      <c r="K4">
        <f t="shared" ref="K4:K37" si="1">D4*H4</f>
        <v>5114545.8499999996</v>
      </c>
      <c r="L4">
        <f t="shared" ref="L4:L37" si="2">E4*H4</f>
        <v>0</v>
      </c>
      <c r="M4">
        <f t="shared" ref="M4:M37" si="3">F4*H4</f>
        <v>22327638.09</v>
      </c>
      <c r="N4">
        <f t="shared" ref="N4:N37" si="4">G4*H4</f>
        <v>1728363.77</v>
      </c>
    </row>
    <row r="5" spans="1:14" x14ac:dyDescent="0.35">
      <c r="A5" t="s">
        <v>25</v>
      </c>
      <c r="B5">
        <v>0.39</v>
      </c>
      <c r="C5">
        <v>85.55</v>
      </c>
      <c r="D5">
        <v>2.31</v>
      </c>
      <c r="E5" t="s">
        <v>22</v>
      </c>
      <c r="F5">
        <v>10.93</v>
      </c>
      <c r="G5">
        <v>0.81</v>
      </c>
      <c r="H5" s="2">
        <v>1337791</v>
      </c>
      <c r="I5">
        <f>B5*H5</f>
        <v>521738.49</v>
      </c>
      <c r="J5">
        <f t="shared" si="0"/>
        <v>114448020.05</v>
      </c>
      <c r="K5">
        <f t="shared" si="1"/>
        <v>3090297.21</v>
      </c>
      <c r="L5">
        <f t="shared" si="2"/>
        <v>0</v>
      </c>
      <c r="M5">
        <f t="shared" si="3"/>
        <v>14622055.629999999</v>
      </c>
      <c r="N5">
        <f t="shared" si="4"/>
        <v>1083610.71</v>
      </c>
    </row>
    <row r="6" spans="1:14" x14ac:dyDescent="0.35">
      <c r="A6" t="s">
        <v>31</v>
      </c>
      <c r="B6">
        <v>0.46</v>
      </c>
      <c r="C6">
        <v>94.58</v>
      </c>
      <c r="D6">
        <v>1.36</v>
      </c>
      <c r="E6">
        <v>0.73</v>
      </c>
      <c r="F6">
        <v>2.4700000000000002</v>
      </c>
      <c r="G6">
        <v>0.4</v>
      </c>
      <c r="H6" s="2">
        <v>1586498</v>
      </c>
      <c r="I6">
        <f t="shared" ref="I6:I37" si="5">B6*H6</f>
        <v>729789.08000000007</v>
      </c>
      <c r="J6">
        <f t="shared" si="0"/>
        <v>150050980.84</v>
      </c>
      <c r="K6">
        <f t="shared" si="1"/>
        <v>2157637.2800000003</v>
      </c>
      <c r="L6">
        <f t="shared" si="2"/>
        <v>1158143.54</v>
      </c>
      <c r="M6">
        <f t="shared" si="3"/>
        <v>3918650.0600000005</v>
      </c>
      <c r="N6">
        <f t="shared" si="4"/>
        <v>634599.20000000007</v>
      </c>
    </row>
    <row r="7" spans="1:14" x14ac:dyDescent="0.35">
      <c r="A7" t="s">
        <v>38</v>
      </c>
      <c r="B7">
        <v>0.6</v>
      </c>
      <c r="C7">
        <v>91.05</v>
      </c>
      <c r="D7">
        <v>2.09</v>
      </c>
      <c r="E7">
        <v>0.01</v>
      </c>
      <c r="F7">
        <v>6.07</v>
      </c>
      <c r="G7">
        <v>0.18</v>
      </c>
      <c r="H7" s="2">
        <v>903600</v>
      </c>
      <c r="I7">
        <f t="shared" si="5"/>
        <v>542160</v>
      </c>
      <c r="J7">
        <f t="shared" si="0"/>
        <v>82272780</v>
      </c>
      <c r="K7">
        <f t="shared" si="1"/>
        <v>1888523.9999999998</v>
      </c>
      <c r="L7">
        <f t="shared" si="2"/>
        <v>9036</v>
      </c>
      <c r="M7">
        <f t="shared" si="3"/>
        <v>5484852</v>
      </c>
      <c r="N7">
        <f t="shared" si="4"/>
        <v>162648</v>
      </c>
    </row>
    <row r="8" spans="1:14" x14ac:dyDescent="0.35">
      <c r="A8" t="s">
        <v>44</v>
      </c>
      <c r="B8">
        <v>0.16</v>
      </c>
      <c r="C8">
        <v>96.44</v>
      </c>
      <c r="D8">
        <v>0.27</v>
      </c>
      <c r="E8" t="s">
        <v>22</v>
      </c>
      <c r="F8">
        <v>2.97</v>
      </c>
      <c r="G8">
        <v>0.15</v>
      </c>
      <c r="H8" s="2">
        <v>2104081</v>
      </c>
      <c r="I8">
        <f t="shared" si="5"/>
        <v>336652.96</v>
      </c>
      <c r="J8">
        <f t="shared" si="0"/>
        <v>202917571.63999999</v>
      </c>
      <c r="K8">
        <f t="shared" si="1"/>
        <v>568101.87</v>
      </c>
      <c r="L8">
        <f t="shared" si="2"/>
        <v>0</v>
      </c>
      <c r="M8">
        <f t="shared" si="3"/>
        <v>6249120.5700000003</v>
      </c>
      <c r="N8">
        <f t="shared" si="4"/>
        <v>315612.14999999997</v>
      </c>
    </row>
    <row r="9" spans="1:14" x14ac:dyDescent="0.35">
      <c r="A9" t="s">
        <v>50</v>
      </c>
      <c r="B9">
        <v>0.32</v>
      </c>
      <c r="C9">
        <v>94.64</v>
      </c>
      <c r="D9">
        <v>0.26</v>
      </c>
      <c r="E9" t="s">
        <v>22</v>
      </c>
      <c r="F9">
        <v>4.59</v>
      </c>
      <c r="G9">
        <v>0.19</v>
      </c>
      <c r="H9" s="2">
        <v>518725</v>
      </c>
      <c r="I9">
        <f t="shared" si="5"/>
        <v>165992</v>
      </c>
      <c r="J9">
        <f t="shared" si="0"/>
        <v>49092134</v>
      </c>
      <c r="K9">
        <f t="shared" si="1"/>
        <v>134868.5</v>
      </c>
      <c r="L9">
        <f t="shared" si="2"/>
        <v>0</v>
      </c>
      <c r="M9">
        <f t="shared" si="3"/>
        <v>2380947.75</v>
      </c>
      <c r="N9">
        <f t="shared" si="4"/>
        <v>98557.75</v>
      </c>
    </row>
    <row r="10" spans="1:14" x14ac:dyDescent="0.35">
      <c r="A10" t="s">
        <v>56</v>
      </c>
      <c r="B10">
        <v>0.66</v>
      </c>
      <c r="C10">
        <v>90.99</v>
      </c>
      <c r="D10">
        <v>0.04</v>
      </c>
      <c r="E10" t="s">
        <v>22</v>
      </c>
      <c r="F10">
        <v>8.19</v>
      </c>
      <c r="G10">
        <v>0.11</v>
      </c>
      <c r="H10" s="2">
        <v>2323288</v>
      </c>
      <c r="I10">
        <f t="shared" si="5"/>
        <v>1533370.08</v>
      </c>
      <c r="J10">
        <f t="shared" si="0"/>
        <v>211395975.11999997</v>
      </c>
      <c r="K10">
        <f t="shared" si="1"/>
        <v>92931.520000000004</v>
      </c>
      <c r="L10">
        <f t="shared" si="2"/>
        <v>0</v>
      </c>
      <c r="M10">
        <f t="shared" si="3"/>
        <v>19027728.719999999</v>
      </c>
      <c r="N10">
        <f t="shared" si="4"/>
        <v>255561.68</v>
      </c>
    </row>
    <row r="11" spans="1:14" x14ac:dyDescent="0.35">
      <c r="A11" t="s">
        <v>62</v>
      </c>
      <c r="B11">
        <v>0.41</v>
      </c>
      <c r="C11">
        <v>96.61</v>
      </c>
      <c r="D11">
        <v>1.56</v>
      </c>
      <c r="E11" t="s">
        <v>22</v>
      </c>
      <c r="F11">
        <v>1.29</v>
      </c>
      <c r="G11">
        <v>0.13</v>
      </c>
      <c r="H11" s="2">
        <v>381045</v>
      </c>
      <c r="I11">
        <f t="shared" si="5"/>
        <v>156228.44999999998</v>
      </c>
      <c r="J11">
        <f t="shared" si="0"/>
        <v>36812757.450000003</v>
      </c>
      <c r="K11">
        <f t="shared" si="1"/>
        <v>594430.20000000007</v>
      </c>
      <c r="L11">
        <f t="shared" si="2"/>
        <v>0</v>
      </c>
      <c r="M11">
        <f t="shared" si="3"/>
        <v>491548.05</v>
      </c>
      <c r="N11">
        <f t="shared" si="4"/>
        <v>49535.85</v>
      </c>
    </row>
    <row r="12" spans="1:14" x14ac:dyDescent="0.35">
      <c r="A12" t="s">
        <v>68</v>
      </c>
      <c r="B12">
        <v>0.78</v>
      </c>
      <c r="C12">
        <v>88.42</v>
      </c>
      <c r="D12">
        <v>6.8</v>
      </c>
      <c r="E12">
        <v>0.11</v>
      </c>
      <c r="F12">
        <v>0.54</v>
      </c>
      <c r="G12">
        <v>3.35</v>
      </c>
      <c r="H12" s="2">
        <v>574814</v>
      </c>
      <c r="I12">
        <f t="shared" si="5"/>
        <v>448354.92000000004</v>
      </c>
      <c r="J12">
        <f t="shared" si="0"/>
        <v>50825053.880000003</v>
      </c>
      <c r="K12">
        <f t="shared" si="1"/>
        <v>3908735.1999999997</v>
      </c>
      <c r="L12">
        <f t="shared" si="2"/>
        <v>63229.54</v>
      </c>
      <c r="M12">
        <f t="shared" si="3"/>
        <v>310399.56</v>
      </c>
      <c r="N12">
        <f t="shared" si="4"/>
        <v>1925626.9000000001</v>
      </c>
    </row>
    <row r="13" spans="1:14" x14ac:dyDescent="0.35">
      <c r="A13" t="s">
        <v>74</v>
      </c>
      <c r="B13">
        <v>0.56000000000000005</v>
      </c>
      <c r="C13">
        <v>95.59</v>
      </c>
      <c r="D13">
        <v>0.54</v>
      </c>
      <c r="E13" t="s">
        <v>22</v>
      </c>
      <c r="F13" t="s">
        <v>22</v>
      </c>
      <c r="G13">
        <v>3.31</v>
      </c>
      <c r="H13" s="2">
        <v>2788989</v>
      </c>
      <c r="I13">
        <f t="shared" si="5"/>
        <v>1561833.84</v>
      </c>
      <c r="J13">
        <f t="shared" si="0"/>
        <v>266599458.51000002</v>
      </c>
      <c r="K13">
        <f t="shared" si="1"/>
        <v>1506054.06</v>
      </c>
      <c r="L13">
        <f t="shared" si="2"/>
        <v>0</v>
      </c>
      <c r="M13">
        <f t="shared" si="3"/>
        <v>0</v>
      </c>
      <c r="N13">
        <f t="shared" si="4"/>
        <v>9231553.5899999999</v>
      </c>
    </row>
    <row r="14" spans="1:14" x14ac:dyDescent="0.35">
      <c r="A14" t="s">
        <v>78</v>
      </c>
      <c r="B14">
        <v>0.71</v>
      </c>
      <c r="C14">
        <v>92.89</v>
      </c>
      <c r="D14">
        <v>0.15</v>
      </c>
      <c r="E14">
        <v>0.01</v>
      </c>
      <c r="F14">
        <v>5.68</v>
      </c>
      <c r="G14">
        <v>0.56000000000000005</v>
      </c>
      <c r="H14" s="2">
        <v>13113409</v>
      </c>
      <c r="I14">
        <f t="shared" si="5"/>
        <v>9310520.3899999987</v>
      </c>
      <c r="J14">
        <f t="shared" si="0"/>
        <v>1218104562.01</v>
      </c>
      <c r="K14">
        <f t="shared" si="1"/>
        <v>1967011.3499999999</v>
      </c>
      <c r="L14">
        <f t="shared" si="2"/>
        <v>131134.09</v>
      </c>
      <c r="M14">
        <f t="shared" si="3"/>
        <v>74484163.11999999</v>
      </c>
      <c r="N14">
        <f t="shared" si="4"/>
        <v>7343509.040000001</v>
      </c>
    </row>
    <row r="15" spans="1:14" x14ac:dyDescent="0.35">
      <c r="A15" t="s">
        <v>82</v>
      </c>
      <c r="B15">
        <v>0.46</v>
      </c>
      <c r="C15">
        <v>90.01</v>
      </c>
      <c r="D15">
        <v>0.04</v>
      </c>
      <c r="E15">
        <v>0.03</v>
      </c>
      <c r="F15">
        <v>9.0399999999999991</v>
      </c>
      <c r="G15">
        <v>0.42</v>
      </c>
      <c r="H15" s="2">
        <v>9921294</v>
      </c>
      <c r="I15">
        <f t="shared" si="5"/>
        <v>4563795.24</v>
      </c>
      <c r="J15">
        <f t="shared" si="0"/>
        <v>893015672.94000006</v>
      </c>
      <c r="K15">
        <f t="shared" si="1"/>
        <v>396851.76</v>
      </c>
      <c r="L15">
        <f t="shared" si="2"/>
        <v>297638.82</v>
      </c>
      <c r="M15">
        <f t="shared" si="3"/>
        <v>89688497.75999999</v>
      </c>
      <c r="N15">
        <f t="shared" si="4"/>
        <v>4166943.48</v>
      </c>
    </row>
    <row r="16" spans="1:14" x14ac:dyDescent="0.35">
      <c r="A16" t="s">
        <v>87</v>
      </c>
      <c r="B16">
        <v>0.69</v>
      </c>
      <c r="C16">
        <v>83.85</v>
      </c>
      <c r="D16">
        <v>0.05</v>
      </c>
      <c r="E16">
        <v>0.15</v>
      </c>
      <c r="F16">
        <v>13.68</v>
      </c>
      <c r="G16">
        <v>1.59</v>
      </c>
      <c r="H16" s="2">
        <v>1127868</v>
      </c>
      <c r="I16">
        <f t="shared" si="5"/>
        <v>778228.91999999993</v>
      </c>
      <c r="J16">
        <f t="shared" si="0"/>
        <v>94571731.799999997</v>
      </c>
      <c r="K16">
        <f t="shared" si="1"/>
        <v>56393.4</v>
      </c>
      <c r="L16">
        <f t="shared" si="2"/>
        <v>169180.19999999998</v>
      </c>
      <c r="M16">
        <f t="shared" si="3"/>
        <v>15429234.24</v>
      </c>
      <c r="N16">
        <f t="shared" si="4"/>
        <v>1793310.12</v>
      </c>
    </row>
    <row r="17" spans="1:14" x14ac:dyDescent="0.35">
      <c r="A17" t="s">
        <v>93</v>
      </c>
      <c r="B17">
        <v>0.55000000000000004</v>
      </c>
      <c r="C17">
        <v>88.37</v>
      </c>
      <c r="D17">
        <v>0.14000000000000001</v>
      </c>
      <c r="E17">
        <v>0.01</v>
      </c>
      <c r="F17">
        <v>10.45</v>
      </c>
      <c r="G17">
        <v>0.48</v>
      </c>
      <c r="H17" s="2">
        <v>11347335</v>
      </c>
      <c r="I17">
        <f t="shared" si="5"/>
        <v>6241034.2500000009</v>
      </c>
      <c r="J17">
        <f t="shared" si="0"/>
        <v>1002763993.95</v>
      </c>
      <c r="K17">
        <f t="shared" si="1"/>
        <v>1588626.9000000001</v>
      </c>
      <c r="L17">
        <f t="shared" si="2"/>
        <v>113473.35</v>
      </c>
      <c r="M17">
        <f t="shared" si="3"/>
        <v>118579650.74999999</v>
      </c>
      <c r="N17">
        <f t="shared" si="4"/>
        <v>5446720.7999999998</v>
      </c>
    </row>
    <row r="18" spans="1:14" x14ac:dyDescent="0.35">
      <c r="A18" t="s">
        <v>98</v>
      </c>
      <c r="B18">
        <v>0.47</v>
      </c>
      <c r="C18">
        <v>91.93</v>
      </c>
      <c r="D18">
        <v>0.08</v>
      </c>
      <c r="E18">
        <v>0.02</v>
      </c>
      <c r="F18">
        <v>7.14</v>
      </c>
      <c r="G18">
        <v>0.37</v>
      </c>
      <c r="H18" s="2">
        <v>2995096</v>
      </c>
      <c r="I18">
        <f t="shared" si="5"/>
        <v>1407695.1199999999</v>
      </c>
      <c r="J18">
        <f t="shared" si="0"/>
        <v>275339175.28000003</v>
      </c>
      <c r="K18">
        <f t="shared" si="1"/>
        <v>239607.67999999999</v>
      </c>
      <c r="L18">
        <f t="shared" si="2"/>
        <v>59901.919999999998</v>
      </c>
      <c r="M18">
        <f t="shared" si="3"/>
        <v>21384985.439999998</v>
      </c>
      <c r="N18">
        <f t="shared" si="4"/>
        <v>1108185.52</v>
      </c>
    </row>
    <row r="19" spans="1:14" x14ac:dyDescent="0.35">
      <c r="A19" t="s">
        <v>105</v>
      </c>
      <c r="B19">
        <v>0.26</v>
      </c>
      <c r="C19">
        <v>87.55</v>
      </c>
      <c r="D19">
        <v>0.03</v>
      </c>
      <c r="E19" t="s">
        <v>22</v>
      </c>
      <c r="F19">
        <v>11.53</v>
      </c>
      <c r="G19">
        <v>0.63</v>
      </c>
      <c r="H19" s="2">
        <v>1166152</v>
      </c>
      <c r="I19">
        <f t="shared" si="5"/>
        <v>303199.52</v>
      </c>
      <c r="J19">
        <f t="shared" si="0"/>
        <v>102096607.59999999</v>
      </c>
      <c r="K19">
        <f t="shared" si="1"/>
        <v>34984.559999999998</v>
      </c>
      <c r="L19">
        <f t="shared" si="2"/>
        <v>0</v>
      </c>
      <c r="M19">
        <f t="shared" si="3"/>
        <v>13445732.559999999</v>
      </c>
      <c r="N19">
        <f t="shared" si="4"/>
        <v>734675.76</v>
      </c>
    </row>
    <row r="20" spans="1:14" x14ac:dyDescent="0.35">
      <c r="A20" t="s">
        <v>109</v>
      </c>
      <c r="B20">
        <v>0.99</v>
      </c>
      <c r="C20">
        <v>87.17</v>
      </c>
      <c r="D20">
        <v>3.15</v>
      </c>
      <c r="E20">
        <v>0.01</v>
      </c>
      <c r="F20">
        <v>8.2899999999999991</v>
      </c>
      <c r="G20">
        <v>0.39</v>
      </c>
      <c r="H20" s="2">
        <v>1522733</v>
      </c>
      <c r="I20">
        <f t="shared" si="5"/>
        <v>1507505.67</v>
      </c>
      <c r="J20">
        <f t="shared" si="0"/>
        <v>132736635.61</v>
      </c>
      <c r="K20">
        <f t="shared" si="1"/>
        <v>4796608.95</v>
      </c>
      <c r="L20">
        <f t="shared" si="2"/>
        <v>15227.33</v>
      </c>
      <c r="M20">
        <f t="shared" si="3"/>
        <v>12623456.569999998</v>
      </c>
      <c r="N20">
        <f t="shared" si="4"/>
        <v>593865.87</v>
      </c>
    </row>
    <row r="21" spans="1:14" x14ac:dyDescent="0.35">
      <c r="A21" t="s">
        <v>114</v>
      </c>
      <c r="B21">
        <v>0.56999999999999995</v>
      </c>
      <c r="C21">
        <v>1.26</v>
      </c>
      <c r="D21">
        <v>29.07</v>
      </c>
      <c r="E21" t="s">
        <v>22</v>
      </c>
      <c r="F21">
        <v>68.790000000000006</v>
      </c>
      <c r="G21">
        <v>0.31</v>
      </c>
      <c r="H21" s="2">
        <v>1183251</v>
      </c>
      <c r="I21">
        <f t="shared" si="5"/>
        <v>674453.07</v>
      </c>
      <c r="J21">
        <f t="shared" si="0"/>
        <v>1490896.26</v>
      </c>
      <c r="K21">
        <f t="shared" si="1"/>
        <v>34397106.57</v>
      </c>
      <c r="L21">
        <f t="shared" si="2"/>
        <v>0</v>
      </c>
      <c r="M21">
        <f t="shared" si="3"/>
        <v>81395836.290000007</v>
      </c>
      <c r="N21">
        <f t="shared" si="4"/>
        <v>366807.81</v>
      </c>
    </row>
    <row r="22" spans="1:14" x14ac:dyDescent="0.35">
      <c r="A22" t="s">
        <v>120</v>
      </c>
      <c r="B22">
        <v>0.42</v>
      </c>
      <c r="C22">
        <v>95.85</v>
      </c>
      <c r="D22">
        <v>0.02</v>
      </c>
      <c r="E22" t="s">
        <v>22</v>
      </c>
      <c r="F22">
        <v>3.62</v>
      </c>
      <c r="G22">
        <v>0.09</v>
      </c>
      <c r="H22" s="2">
        <v>1287645</v>
      </c>
      <c r="I22">
        <f t="shared" si="5"/>
        <v>540810.9</v>
      </c>
      <c r="J22">
        <f t="shared" si="0"/>
        <v>123420773.25</v>
      </c>
      <c r="K22">
        <f t="shared" si="1"/>
        <v>25752.9</v>
      </c>
      <c r="L22">
        <f t="shared" si="2"/>
        <v>0</v>
      </c>
      <c r="M22">
        <f t="shared" si="3"/>
        <v>4661274.9000000004</v>
      </c>
      <c r="N22">
        <f t="shared" si="4"/>
        <v>115888.05</v>
      </c>
    </row>
    <row r="23" spans="1:14" x14ac:dyDescent="0.35">
      <c r="A23" t="s">
        <v>124</v>
      </c>
      <c r="B23">
        <v>0.4</v>
      </c>
      <c r="C23">
        <v>92.24</v>
      </c>
      <c r="D23">
        <v>1.51</v>
      </c>
      <c r="E23" t="s">
        <v>22</v>
      </c>
      <c r="F23">
        <v>5.7</v>
      </c>
      <c r="G23">
        <v>0.14000000000000001</v>
      </c>
      <c r="H23" s="2">
        <v>709515</v>
      </c>
      <c r="I23">
        <f t="shared" si="5"/>
        <v>283806</v>
      </c>
      <c r="J23">
        <f t="shared" si="0"/>
        <v>65445663.599999994</v>
      </c>
      <c r="K23">
        <f t="shared" si="1"/>
        <v>1071367.6499999999</v>
      </c>
      <c r="L23">
        <f t="shared" si="2"/>
        <v>0</v>
      </c>
      <c r="M23">
        <f t="shared" si="3"/>
        <v>4044235.5</v>
      </c>
      <c r="N23">
        <f t="shared" si="4"/>
        <v>99332.1</v>
      </c>
    </row>
    <row r="24" spans="1:14" x14ac:dyDescent="0.35">
      <c r="A24" t="s">
        <v>128</v>
      </c>
      <c r="B24">
        <v>0.22</v>
      </c>
      <c r="C24">
        <v>90.16</v>
      </c>
      <c r="D24">
        <v>1.7</v>
      </c>
      <c r="E24" t="s">
        <v>22</v>
      </c>
      <c r="F24">
        <v>7.46</v>
      </c>
      <c r="G24">
        <v>0.46</v>
      </c>
      <c r="H24" s="2">
        <v>1123986</v>
      </c>
      <c r="I24">
        <f t="shared" si="5"/>
        <v>247276.92</v>
      </c>
      <c r="J24">
        <f t="shared" si="0"/>
        <v>101338577.75999999</v>
      </c>
      <c r="K24">
        <f t="shared" si="1"/>
        <v>1910776.2</v>
      </c>
      <c r="L24">
        <f t="shared" si="2"/>
        <v>0</v>
      </c>
      <c r="M24">
        <f t="shared" si="3"/>
        <v>8384935.5599999996</v>
      </c>
      <c r="N24">
        <f t="shared" si="4"/>
        <v>517033.56</v>
      </c>
    </row>
    <row r="25" spans="1:14" x14ac:dyDescent="0.35">
      <c r="A25" t="s">
        <v>133</v>
      </c>
      <c r="B25">
        <v>0.06</v>
      </c>
      <c r="C25">
        <v>98.23</v>
      </c>
      <c r="D25">
        <v>0.28000000000000003</v>
      </c>
      <c r="E25">
        <v>0.01</v>
      </c>
      <c r="F25" t="s">
        <v>137</v>
      </c>
      <c r="G25">
        <v>0.41</v>
      </c>
      <c r="H25" s="2">
        <v>959848</v>
      </c>
      <c r="I25">
        <f t="shared" si="5"/>
        <v>57590.879999999997</v>
      </c>
      <c r="J25">
        <f t="shared" si="0"/>
        <v>94285869.040000007</v>
      </c>
      <c r="K25">
        <f t="shared" si="1"/>
        <v>268757.44</v>
      </c>
      <c r="L25">
        <f t="shared" si="2"/>
        <v>9598.48</v>
      </c>
      <c r="M25">
        <f t="shared" si="3"/>
        <v>959848</v>
      </c>
      <c r="N25">
        <f t="shared" si="4"/>
        <v>393537.68</v>
      </c>
    </row>
    <row r="26" spans="1:14" x14ac:dyDescent="0.35">
      <c r="A26" t="s">
        <v>138</v>
      </c>
      <c r="B26">
        <v>0.95</v>
      </c>
      <c r="C26">
        <v>86.59</v>
      </c>
      <c r="D26">
        <v>1.89</v>
      </c>
      <c r="E26" t="s">
        <v>22</v>
      </c>
      <c r="F26">
        <v>10.220000000000001</v>
      </c>
      <c r="G26">
        <v>0.35</v>
      </c>
      <c r="H26" s="2">
        <v>164082</v>
      </c>
      <c r="I26">
        <f t="shared" si="5"/>
        <v>155877.9</v>
      </c>
      <c r="J26">
        <f t="shared" si="0"/>
        <v>14207860.380000001</v>
      </c>
      <c r="K26">
        <f t="shared" si="1"/>
        <v>310114.98</v>
      </c>
      <c r="L26">
        <f t="shared" si="2"/>
        <v>0</v>
      </c>
      <c r="M26">
        <f t="shared" si="3"/>
        <v>1676918.04</v>
      </c>
      <c r="N26">
        <f t="shared" si="4"/>
        <v>57428.7</v>
      </c>
    </row>
    <row r="27" spans="1:14" x14ac:dyDescent="0.35">
      <c r="A27" t="s">
        <v>144</v>
      </c>
      <c r="B27">
        <v>0.4</v>
      </c>
      <c r="C27">
        <v>84.65</v>
      </c>
      <c r="D27">
        <v>9.5</v>
      </c>
      <c r="E27">
        <v>0.02</v>
      </c>
      <c r="F27">
        <v>4.74</v>
      </c>
      <c r="G27">
        <v>0.69</v>
      </c>
      <c r="H27" s="2">
        <v>679782</v>
      </c>
      <c r="I27">
        <f t="shared" si="5"/>
        <v>271912.8</v>
      </c>
      <c r="J27">
        <f t="shared" si="0"/>
        <v>57543546.300000004</v>
      </c>
      <c r="K27">
        <f t="shared" si="1"/>
        <v>6457929</v>
      </c>
      <c r="L27">
        <f t="shared" si="2"/>
        <v>13595.64</v>
      </c>
      <c r="M27">
        <f t="shared" si="3"/>
        <v>3222166.68</v>
      </c>
      <c r="N27">
        <f t="shared" si="4"/>
        <v>469049.57999999996</v>
      </c>
    </row>
    <row r="28" spans="1:14" x14ac:dyDescent="0.35">
      <c r="A28" t="s">
        <v>148</v>
      </c>
      <c r="B28">
        <v>0.28999999999999998</v>
      </c>
      <c r="C28">
        <v>74.55</v>
      </c>
      <c r="D28">
        <v>4.08</v>
      </c>
      <c r="E28">
        <v>0.59</v>
      </c>
      <c r="F28">
        <v>20.3</v>
      </c>
      <c r="G28">
        <v>0.19</v>
      </c>
      <c r="H28" s="2">
        <v>721987</v>
      </c>
      <c r="I28">
        <f t="shared" si="5"/>
        <v>209376.22999999998</v>
      </c>
      <c r="J28">
        <f t="shared" si="0"/>
        <v>53824130.850000001</v>
      </c>
      <c r="K28">
        <f t="shared" si="1"/>
        <v>2945706.96</v>
      </c>
      <c r="L28">
        <f t="shared" si="2"/>
        <v>425972.32999999996</v>
      </c>
      <c r="M28">
        <f t="shared" si="3"/>
        <v>14656336.1</v>
      </c>
      <c r="N28">
        <f t="shared" si="4"/>
        <v>137177.53</v>
      </c>
    </row>
    <row r="29" spans="1:14" x14ac:dyDescent="0.35">
      <c r="A29" t="s">
        <v>154</v>
      </c>
      <c r="B29">
        <v>0.4</v>
      </c>
      <c r="C29">
        <v>93.38</v>
      </c>
      <c r="D29">
        <v>0.02</v>
      </c>
      <c r="E29">
        <v>0.13</v>
      </c>
      <c r="F29">
        <v>5.8</v>
      </c>
      <c r="G29">
        <v>0.26</v>
      </c>
      <c r="H29" s="2">
        <v>2113231</v>
      </c>
      <c r="I29">
        <f t="shared" si="5"/>
        <v>845292.4</v>
      </c>
      <c r="J29">
        <f t="shared" si="0"/>
        <v>197333510.78</v>
      </c>
      <c r="K29">
        <f t="shared" si="1"/>
        <v>42264.62</v>
      </c>
      <c r="L29">
        <f t="shared" si="2"/>
        <v>274720.03000000003</v>
      </c>
      <c r="M29">
        <f t="shared" si="3"/>
        <v>12256739.799999999</v>
      </c>
      <c r="N29">
        <f t="shared" si="4"/>
        <v>549440.06000000006</v>
      </c>
    </row>
    <row r="30" spans="1:14" x14ac:dyDescent="0.35">
      <c r="A30" t="s">
        <v>157</v>
      </c>
      <c r="B30">
        <v>0.01</v>
      </c>
      <c r="C30">
        <v>69.41</v>
      </c>
      <c r="D30">
        <v>17.54</v>
      </c>
      <c r="E30">
        <v>7.0000000000000007E-2</v>
      </c>
      <c r="F30">
        <v>12.82</v>
      </c>
      <c r="G30">
        <v>0.14000000000000001</v>
      </c>
      <c r="H30" s="2">
        <v>606508</v>
      </c>
      <c r="I30">
        <f t="shared" si="5"/>
        <v>6065.08</v>
      </c>
      <c r="J30">
        <f t="shared" si="0"/>
        <v>42097720.280000001</v>
      </c>
      <c r="K30">
        <f t="shared" si="1"/>
        <v>10638150.32</v>
      </c>
      <c r="L30">
        <f t="shared" si="2"/>
        <v>42455.560000000005</v>
      </c>
      <c r="M30">
        <f t="shared" si="3"/>
        <v>7775432.5600000005</v>
      </c>
      <c r="N30">
        <f t="shared" si="4"/>
        <v>84911.12000000001</v>
      </c>
    </row>
    <row r="31" spans="1:14" x14ac:dyDescent="0.35">
      <c r="A31" t="s">
        <v>162</v>
      </c>
      <c r="B31">
        <v>0.32</v>
      </c>
      <c r="C31">
        <v>95.22</v>
      </c>
      <c r="D31">
        <v>0.67</v>
      </c>
      <c r="E31" t="s">
        <v>22</v>
      </c>
      <c r="F31" t="s">
        <v>165</v>
      </c>
      <c r="G31">
        <v>0.79</v>
      </c>
      <c r="H31" s="2">
        <v>279749</v>
      </c>
      <c r="I31">
        <f t="shared" si="5"/>
        <v>89519.680000000008</v>
      </c>
      <c r="J31">
        <f t="shared" si="0"/>
        <v>26637699.780000001</v>
      </c>
      <c r="K31">
        <f t="shared" si="1"/>
        <v>187431.83000000002</v>
      </c>
      <c r="L31">
        <f t="shared" si="2"/>
        <v>0</v>
      </c>
      <c r="M31">
        <f t="shared" si="3"/>
        <v>839247</v>
      </c>
      <c r="N31">
        <f t="shared" si="4"/>
        <v>221001.71000000002</v>
      </c>
    </row>
    <row r="32" spans="1:14" x14ac:dyDescent="0.35">
      <c r="A32" t="s">
        <v>167</v>
      </c>
      <c r="B32">
        <v>0.48</v>
      </c>
      <c r="C32">
        <v>83.13</v>
      </c>
      <c r="D32">
        <v>0.04</v>
      </c>
      <c r="E32">
        <v>0.1</v>
      </c>
      <c r="F32">
        <v>16.11</v>
      </c>
      <c r="G32">
        <v>0.15</v>
      </c>
      <c r="H32" s="2">
        <v>326421</v>
      </c>
      <c r="I32">
        <f t="shared" si="5"/>
        <v>156682.07999999999</v>
      </c>
      <c r="J32">
        <f t="shared" si="0"/>
        <v>27135377.729999997</v>
      </c>
      <c r="K32">
        <f t="shared" si="1"/>
        <v>13056.84</v>
      </c>
      <c r="L32">
        <f t="shared" si="2"/>
        <v>32642.100000000002</v>
      </c>
      <c r="M32">
        <f t="shared" si="3"/>
        <v>5258642.3099999996</v>
      </c>
      <c r="N32">
        <f t="shared" si="4"/>
        <v>48963.15</v>
      </c>
    </row>
    <row r="33" spans="1:14" x14ac:dyDescent="0.35">
      <c r="A33" t="s">
        <v>171</v>
      </c>
      <c r="B33">
        <v>0.13</v>
      </c>
      <c r="C33">
        <v>1.45</v>
      </c>
      <c r="D33">
        <v>69.790000000000006</v>
      </c>
      <c r="E33">
        <v>0.02</v>
      </c>
      <c r="F33">
        <v>27.92</v>
      </c>
      <c r="G33">
        <v>0.69</v>
      </c>
      <c r="H33" s="2">
        <v>387463</v>
      </c>
      <c r="I33">
        <f t="shared" si="5"/>
        <v>50370.19</v>
      </c>
      <c r="J33">
        <f t="shared" si="0"/>
        <v>561821.35</v>
      </c>
      <c r="K33">
        <f t="shared" si="1"/>
        <v>27041042.770000003</v>
      </c>
      <c r="L33">
        <f t="shared" si="2"/>
        <v>7749.26</v>
      </c>
      <c r="M33">
        <f t="shared" si="3"/>
        <v>10817966.960000001</v>
      </c>
      <c r="N33">
        <f t="shared" si="4"/>
        <v>267349.46999999997</v>
      </c>
    </row>
    <row r="34" spans="1:14" x14ac:dyDescent="0.35">
      <c r="A34" t="s">
        <v>174</v>
      </c>
      <c r="B34">
        <v>0.34</v>
      </c>
      <c r="C34">
        <v>1.52</v>
      </c>
      <c r="D34">
        <v>54.26</v>
      </c>
      <c r="E34">
        <v>0.03</v>
      </c>
      <c r="F34">
        <v>43.6</v>
      </c>
      <c r="G34">
        <v>0.26</v>
      </c>
      <c r="H34" s="2">
        <v>272329</v>
      </c>
      <c r="I34">
        <f t="shared" si="5"/>
        <v>92591.86</v>
      </c>
      <c r="J34">
        <f t="shared" si="0"/>
        <v>413940.08</v>
      </c>
      <c r="K34">
        <f t="shared" si="1"/>
        <v>14776571.539999999</v>
      </c>
      <c r="L34">
        <f t="shared" si="2"/>
        <v>8169.87</v>
      </c>
      <c r="M34">
        <f t="shared" si="3"/>
        <v>11873544.4</v>
      </c>
      <c r="N34">
        <f t="shared" si="4"/>
        <v>70805.540000000008</v>
      </c>
    </row>
    <row r="35" spans="1:14" x14ac:dyDescent="0.35">
      <c r="A35" t="s">
        <v>179</v>
      </c>
      <c r="B35">
        <v>0.5</v>
      </c>
      <c r="C35">
        <v>6.01</v>
      </c>
      <c r="D35">
        <v>65.849999999999994</v>
      </c>
      <c r="E35" t="s">
        <v>22</v>
      </c>
      <c r="F35">
        <v>27.19</v>
      </c>
      <c r="G35">
        <v>0.45</v>
      </c>
      <c r="H35" s="2">
        <v>261689</v>
      </c>
      <c r="I35">
        <f t="shared" si="5"/>
        <v>130844.5</v>
      </c>
      <c r="J35">
        <f t="shared" si="0"/>
        <v>1572750.89</v>
      </c>
      <c r="K35">
        <f t="shared" si="1"/>
        <v>17232220.649999999</v>
      </c>
      <c r="L35">
        <f t="shared" si="2"/>
        <v>0</v>
      </c>
      <c r="M35">
        <f t="shared" si="3"/>
        <v>7115323.9100000001</v>
      </c>
      <c r="N35">
        <f t="shared" si="4"/>
        <v>117760.05</v>
      </c>
    </row>
    <row r="36" spans="1:14" x14ac:dyDescent="0.35">
      <c r="A36" t="s">
        <v>187</v>
      </c>
      <c r="B36">
        <v>0.16</v>
      </c>
      <c r="C36">
        <v>2.23</v>
      </c>
      <c r="D36">
        <v>32.86</v>
      </c>
      <c r="E36">
        <v>0.09</v>
      </c>
      <c r="F36">
        <v>64.55</v>
      </c>
      <c r="G36">
        <v>0.11</v>
      </c>
      <c r="H36" s="2">
        <v>1028643</v>
      </c>
      <c r="I36">
        <f t="shared" si="5"/>
        <v>164582.88</v>
      </c>
      <c r="J36">
        <f t="shared" si="0"/>
        <v>2293873.89</v>
      </c>
      <c r="K36">
        <f t="shared" si="1"/>
        <v>33801208.979999997</v>
      </c>
      <c r="L36">
        <f t="shared" si="2"/>
        <v>92577.87</v>
      </c>
      <c r="M36">
        <f t="shared" si="3"/>
        <v>66398905.649999999</v>
      </c>
      <c r="N36">
        <f t="shared" si="4"/>
        <v>113150.73</v>
      </c>
    </row>
    <row r="37" spans="1:14" x14ac:dyDescent="0.35">
      <c r="H37" s="2">
        <v>70628952</v>
      </c>
      <c r="I37">
        <f t="shared" si="5"/>
        <v>0</v>
      </c>
      <c r="J37">
        <f t="shared" si="0"/>
        <v>0</v>
      </c>
      <c r="K37">
        <f t="shared" si="1"/>
        <v>0</v>
      </c>
      <c r="L37">
        <f t="shared" si="2"/>
        <v>0</v>
      </c>
      <c r="M37">
        <f t="shared" si="3"/>
        <v>0</v>
      </c>
      <c r="N37">
        <f t="shared" si="4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CE03D-C643-43FD-9BED-2F9437CDC108}">
  <dimension ref="A2:G37"/>
  <sheetViews>
    <sheetView tabSelected="1" workbookViewId="0">
      <selection activeCell="D5" sqref="D5"/>
    </sheetView>
  </sheetViews>
  <sheetFormatPr defaultRowHeight="15.5" x14ac:dyDescent="0.35"/>
  <sheetData>
    <row r="2" spans="1:7" x14ac:dyDescent="0.35">
      <c r="A2" t="s">
        <v>200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201</v>
      </c>
    </row>
    <row r="3" spans="1:7" x14ac:dyDescent="0.35">
      <c r="A3" t="s">
        <v>10</v>
      </c>
      <c r="B3">
        <v>615759.35999999999</v>
      </c>
      <c r="C3">
        <v>120906916</v>
      </c>
      <c r="D3">
        <v>2770917.12</v>
      </c>
      <c r="E3">
        <v>12828.32</v>
      </c>
      <c r="F3">
        <v>3091625.12</v>
      </c>
      <c r="G3">
        <v>872325.76</v>
      </c>
    </row>
    <row r="4" spans="1:7" x14ac:dyDescent="0.35">
      <c r="A4" t="s">
        <v>18</v>
      </c>
      <c r="B4">
        <v>1869454.6900000002</v>
      </c>
      <c r="C4">
        <v>321687297.60000002</v>
      </c>
      <c r="D4">
        <v>5114545.8499999996</v>
      </c>
      <c r="E4">
        <v>0</v>
      </c>
      <c r="F4">
        <v>22327638.09</v>
      </c>
      <c r="G4">
        <v>1728363.77</v>
      </c>
    </row>
    <row r="5" spans="1:7" x14ac:dyDescent="0.35">
      <c r="A5" t="s">
        <v>25</v>
      </c>
      <c r="B5">
        <v>521738.49</v>
      </c>
      <c r="C5">
        <v>114448020.05</v>
      </c>
      <c r="D5">
        <v>3090297.21</v>
      </c>
      <c r="E5">
        <v>0</v>
      </c>
      <c r="F5">
        <v>14622055.629999999</v>
      </c>
      <c r="G5">
        <v>1083610.71</v>
      </c>
    </row>
    <row r="6" spans="1:7" x14ac:dyDescent="0.35">
      <c r="A6" t="s">
        <v>31</v>
      </c>
      <c r="B6">
        <v>729789.08000000007</v>
      </c>
      <c r="C6">
        <v>150050980.84</v>
      </c>
      <c r="D6">
        <v>2157637.2800000003</v>
      </c>
      <c r="E6">
        <v>1158143.54</v>
      </c>
      <c r="F6">
        <v>3918650.0600000005</v>
      </c>
      <c r="G6">
        <v>634599.20000000007</v>
      </c>
    </row>
    <row r="7" spans="1:7" x14ac:dyDescent="0.35">
      <c r="A7" t="s">
        <v>38</v>
      </c>
      <c r="B7">
        <v>542160</v>
      </c>
      <c r="C7">
        <v>82272780</v>
      </c>
      <c r="D7">
        <v>1888523.9999999998</v>
      </c>
      <c r="E7">
        <v>9036</v>
      </c>
      <c r="F7">
        <v>5484852</v>
      </c>
      <c r="G7">
        <v>162648</v>
      </c>
    </row>
    <row r="8" spans="1:7" x14ac:dyDescent="0.35">
      <c r="A8" t="s">
        <v>44</v>
      </c>
      <c r="B8">
        <v>336652.96</v>
      </c>
      <c r="C8">
        <v>202917571.63999999</v>
      </c>
      <c r="D8">
        <v>568101.87</v>
      </c>
      <c r="E8">
        <v>0</v>
      </c>
      <c r="F8">
        <v>6249120.5700000003</v>
      </c>
      <c r="G8">
        <v>315612.14999999997</v>
      </c>
    </row>
    <row r="9" spans="1:7" x14ac:dyDescent="0.35">
      <c r="A9" t="s">
        <v>50</v>
      </c>
      <c r="B9">
        <v>165992</v>
      </c>
      <c r="C9">
        <v>49092134</v>
      </c>
      <c r="D9">
        <v>134868.5</v>
      </c>
      <c r="E9">
        <v>0</v>
      </c>
      <c r="F9">
        <v>2380947.75</v>
      </c>
      <c r="G9">
        <v>98557.75</v>
      </c>
    </row>
    <row r="10" spans="1:7" x14ac:dyDescent="0.35">
      <c r="A10" t="s">
        <v>56</v>
      </c>
      <c r="B10">
        <v>1533370.08</v>
      </c>
      <c r="C10">
        <v>211395975.11999997</v>
      </c>
      <c r="D10">
        <v>92931.520000000004</v>
      </c>
      <c r="E10">
        <v>0</v>
      </c>
      <c r="F10">
        <v>19027728.719999999</v>
      </c>
      <c r="G10">
        <v>255561.68</v>
      </c>
    </row>
    <row r="11" spans="1:7" x14ac:dyDescent="0.35">
      <c r="A11" t="s">
        <v>62</v>
      </c>
      <c r="B11">
        <v>156228.44999999998</v>
      </c>
      <c r="C11">
        <v>36812757.450000003</v>
      </c>
      <c r="D11">
        <v>594430.20000000007</v>
      </c>
      <c r="E11">
        <v>0</v>
      </c>
      <c r="F11">
        <v>491548.05</v>
      </c>
      <c r="G11">
        <v>49535.85</v>
      </c>
    </row>
    <row r="12" spans="1:7" x14ac:dyDescent="0.35">
      <c r="A12" t="s">
        <v>68</v>
      </c>
      <c r="B12">
        <v>448354.92000000004</v>
      </c>
      <c r="C12">
        <v>50825053.880000003</v>
      </c>
      <c r="D12">
        <v>3908735.1999999997</v>
      </c>
      <c r="E12">
        <v>63229.54</v>
      </c>
      <c r="F12">
        <v>310399.56</v>
      </c>
      <c r="G12">
        <v>1925626.9000000001</v>
      </c>
    </row>
    <row r="13" spans="1:7" x14ac:dyDescent="0.35">
      <c r="A13" t="s">
        <v>74</v>
      </c>
      <c r="B13">
        <v>1561833.84</v>
      </c>
      <c r="C13">
        <v>266599458.51000002</v>
      </c>
      <c r="D13">
        <v>1506054.06</v>
      </c>
      <c r="E13">
        <v>0</v>
      </c>
      <c r="F13">
        <v>0</v>
      </c>
      <c r="G13">
        <v>9231553.5899999999</v>
      </c>
    </row>
    <row r="14" spans="1:7" x14ac:dyDescent="0.35">
      <c r="A14" t="s">
        <v>78</v>
      </c>
      <c r="B14">
        <v>9310520.3899999987</v>
      </c>
      <c r="C14">
        <v>1218104562.01</v>
      </c>
      <c r="D14">
        <v>1967011.3499999999</v>
      </c>
      <c r="E14">
        <v>131134.09</v>
      </c>
      <c r="F14">
        <v>74484163.11999999</v>
      </c>
      <c r="G14">
        <v>7343509.040000001</v>
      </c>
    </row>
    <row r="15" spans="1:7" x14ac:dyDescent="0.35">
      <c r="A15" t="s">
        <v>82</v>
      </c>
      <c r="B15">
        <v>4563795.24</v>
      </c>
      <c r="C15">
        <v>893015672.94000006</v>
      </c>
      <c r="D15">
        <v>396851.76</v>
      </c>
      <c r="E15">
        <v>297638.82</v>
      </c>
      <c r="F15">
        <v>89688497.75999999</v>
      </c>
      <c r="G15">
        <v>4166943.48</v>
      </c>
    </row>
    <row r="16" spans="1:7" x14ac:dyDescent="0.35">
      <c r="A16" t="s">
        <v>87</v>
      </c>
      <c r="B16">
        <v>778228.91999999993</v>
      </c>
      <c r="C16">
        <v>94571731.799999997</v>
      </c>
      <c r="D16">
        <v>56393.4</v>
      </c>
      <c r="E16">
        <v>169180.19999999998</v>
      </c>
      <c r="F16">
        <v>15429234.24</v>
      </c>
      <c r="G16">
        <v>1793310.12</v>
      </c>
    </row>
    <row r="17" spans="1:7" x14ac:dyDescent="0.35">
      <c r="A17" t="s">
        <v>93</v>
      </c>
      <c r="B17">
        <v>6241034.2500000009</v>
      </c>
      <c r="C17">
        <v>1002763993.95</v>
      </c>
      <c r="D17">
        <v>1588626.9000000001</v>
      </c>
      <c r="E17">
        <v>113473.35</v>
      </c>
      <c r="F17">
        <v>118579650.74999999</v>
      </c>
      <c r="G17">
        <v>5446720.7999999998</v>
      </c>
    </row>
    <row r="18" spans="1:7" x14ac:dyDescent="0.35">
      <c r="A18" t="s">
        <v>98</v>
      </c>
      <c r="B18">
        <v>1407695.1199999999</v>
      </c>
      <c r="C18">
        <v>275339175.28000003</v>
      </c>
      <c r="D18">
        <v>239607.67999999999</v>
      </c>
      <c r="E18">
        <v>59901.919999999998</v>
      </c>
      <c r="F18">
        <v>21384985.439999998</v>
      </c>
      <c r="G18">
        <v>1108185.52</v>
      </c>
    </row>
    <row r="19" spans="1:7" x14ac:dyDescent="0.35">
      <c r="A19" t="s">
        <v>105</v>
      </c>
      <c r="B19">
        <v>303199.52</v>
      </c>
      <c r="C19">
        <v>102096607.59999999</v>
      </c>
      <c r="D19">
        <v>34984.559999999998</v>
      </c>
      <c r="E19">
        <v>0</v>
      </c>
      <c r="F19">
        <v>13445732.559999999</v>
      </c>
      <c r="G19">
        <v>734675.76</v>
      </c>
    </row>
    <row r="20" spans="1:7" x14ac:dyDescent="0.35">
      <c r="A20" t="s">
        <v>109</v>
      </c>
      <c r="B20">
        <v>1507505.67</v>
      </c>
      <c r="C20">
        <v>132736635.61</v>
      </c>
      <c r="D20">
        <v>4796608.95</v>
      </c>
      <c r="E20">
        <v>15227.33</v>
      </c>
      <c r="F20">
        <v>12623456.569999998</v>
      </c>
      <c r="G20">
        <v>593865.87</v>
      </c>
    </row>
    <row r="21" spans="1:7" x14ac:dyDescent="0.35">
      <c r="A21" t="s">
        <v>114</v>
      </c>
      <c r="B21">
        <v>674453.07</v>
      </c>
      <c r="C21">
        <v>1490896.26</v>
      </c>
      <c r="D21">
        <v>34397106.57</v>
      </c>
      <c r="E21">
        <v>0</v>
      </c>
      <c r="F21">
        <v>81395836.290000007</v>
      </c>
      <c r="G21">
        <v>366807.81</v>
      </c>
    </row>
    <row r="22" spans="1:7" x14ac:dyDescent="0.35">
      <c r="A22" t="s">
        <v>120</v>
      </c>
      <c r="B22">
        <v>540810.9</v>
      </c>
      <c r="C22">
        <v>123420773.25</v>
      </c>
      <c r="D22">
        <v>25752.9</v>
      </c>
      <c r="E22">
        <v>0</v>
      </c>
      <c r="F22">
        <v>4661274.9000000004</v>
      </c>
      <c r="G22">
        <v>115888.05</v>
      </c>
    </row>
    <row r="23" spans="1:7" x14ac:dyDescent="0.35">
      <c r="A23" t="s">
        <v>124</v>
      </c>
      <c r="B23">
        <v>283806</v>
      </c>
      <c r="C23">
        <v>65445663.599999994</v>
      </c>
      <c r="D23">
        <v>1071367.6499999999</v>
      </c>
      <c r="E23">
        <v>0</v>
      </c>
      <c r="F23">
        <v>4044235.5</v>
      </c>
      <c r="G23">
        <v>99332.1</v>
      </c>
    </row>
    <row r="24" spans="1:7" x14ac:dyDescent="0.35">
      <c r="A24" t="s">
        <v>128</v>
      </c>
      <c r="B24">
        <v>247276.92</v>
      </c>
      <c r="C24">
        <v>101338577.75999999</v>
      </c>
      <c r="D24">
        <v>1910776.2</v>
      </c>
      <c r="E24">
        <v>0</v>
      </c>
      <c r="F24">
        <v>8384935.5599999996</v>
      </c>
      <c r="G24">
        <v>517033.56</v>
      </c>
    </row>
    <row r="25" spans="1:7" x14ac:dyDescent="0.35">
      <c r="A25" t="s">
        <v>133</v>
      </c>
      <c r="B25">
        <v>57590.879999999997</v>
      </c>
      <c r="C25">
        <v>94285869.040000007</v>
      </c>
      <c r="D25">
        <v>268757.44</v>
      </c>
      <c r="E25">
        <v>9598.48</v>
      </c>
      <c r="F25">
        <v>959848</v>
      </c>
      <c r="G25">
        <v>393537.68</v>
      </c>
    </row>
    <row r="26" spans="1:7" x14ac:dyDescent="0.35">
      <c r="A26" t="s">
        <v>138</v>
      </c>
      <c r="B26">
        <v>155877.9</v>
      </c>
      <c r="C26">
        <v>14207860.380000001</v>
      </c>
      <c r="D26">
        <v>310114.98</v>
      </c>
      <c r="E26">
        <v>0</v>
      </c>
      <c r="F26">
        <v>1676918.04</v>
      </c>
      <c r="G26">
        <v>57428.7</v>
      </c>
    </row>
    <row r="27" spans="1:7" x14ac:dyDescent="0.35">
      <c r="A27" t="s">
        <v>144</v>
      </c>
      <c r="B27">
        <v>271912.8</v>
      </c>
      <c r="C27">
        <v>57543546.300000004</v>
      </c>
      <c r="D27">
        <v>6457929</v>
      </c>
      <c r="E27">
        <v>13595.64</v>
      </c>
      <c r="F27">
        <v>3222166.68</v>
      </c>
      <c r="G27">
        <v>469049.57999999996</v>
      </c>
    </row>
    <row r="28" spans="1:7" x14ac:dyDescent="0.35">
      <c r="A28" t="s">
        <v>148</v>
      </c>
      <c r="B28">
        <v>209376.22999999998</v>
      </c>
      <c r="C28">
        <v>53824130.850000001</v>
      </c>
      <c r="D28">
        <v>2945706.96</v>
      </c>
      <c r="E28">
        <v>425972.32999999996</v>
      </c>
      <c r="F28">
        <v>14656336.1</v>
      </c>
      <c r="G28">
        <v>137177.53</v>
      </c>
    </row>
    <row r="29" spans="1:7" x14ac:dyDescent="0.35">
      <c r="A29" t="s">
        <v>154</v>
      </c>
      <c r="B29">
        <v>845292.4</v>
      </c>
      <c r="C29">
        <v>197333510.78</v>
      </c>
      <c r="D29">
        <v>42264.62</v>
      </c>
      <c r="E29">
        <v>274720.03000000003</v>
      </c>
      <c r="F29">
        <v>12256739.799999999</v>
      </c>
      <c r="G29">
        <v>549440.06000000006</v>
      </c>
    </row>
    <row r="30" spans="1:7" x14ac:dyDescent="0.35">
      <c r="A30" t="s">
        <v>157</v>
      </c>
      <c r="B30">
        <v>6065.08</v>
      </c>
      <c r="C30">
        <v>42097720.280000001</v>
      </c>
      <c r="D30">
        <v>10638150.32</v>
      </c>
      <c r="E30">
        <v>42455.560000000005</v>
      </c>
      <c r="F30">
        <v>7775432.5600000005</v>
      </c>
      <c r="G30">
        <v>84911.12000000001</v>
      </c>
    </row>
    <row r="31" spans="1:7" x14ac:dyDescent="0.35">
      <c r="A31" t="s">
        <v>162</v>
      </c>
      <c r="B31">
        <v>89519.680000000008</v>
      </c>
      <c r="C31">
        <v>26637699.780000001</v>
      </c>
      <c r="D31">
        <v>187431.83000000002</v>
      </c>
      <c r="E31">
        <v>0</v>
      </c>
      <c r="F31">
        <v>839247</v>
      </c>
      <c r="G31">
        <v>221001.71000000002</v>
      </c>
    </row>
    <row r="32" spans="1:7" x14ac:dyDescent="0.35">
      <c r="A32" t="s">
        <v>167</v>
      </c>
      <c r="B32">
        <v>156682.07999999999</v>
      </c>
      <c r="C32">
        <v>27135377.729999997</v>
      </c>
      <c r="D32">
        <v>13056.84</v>
      </c>
      <c r="E32">
        <v>32642.100000000002</v>
      </c>
      <c r="F32">
        <v>5258642.3099999996</v>
      </c>
      <c r="G32">
        <v>48963.15</v>
      </c>
    </row>
    <row r="33" spans="1:7" x14ac:dyDescent="0.35">
      <c r="A33" t="s">
        <v>171</v>
      </c>
      <c r="B33">
        <v>50370.19</v>
      </c>
      <c r="C33">
        <v>561821.35</v>
      </c>
      <c r="D33">
        <v>27041042.770000003</v>
      </c>
      <c r="E33">
        <v>7749.26</v>
      </c>
      <c r="F33">
        <v>10817966.960000001</v>
      </c>
      <c r="G33">
        <v>267349.46999999997</v>
      </c>
    </row>
    <row r="34" spans="1:7" x14ac:dyDescent="0.35">
      <c r="A34" t="s">
        <v>174</v>
      </c>
      <c r="B34">
        <v>92591.86</v>
      </c>
      <c r="C34">
        <v>413940.08</v>
      </c>
      <c r="D34">
        <v>14776571.539999999</v>
      </c>
      <c r="E34">
        <v>8169.87</v>
      </c>
      <c r="F34">
        <v>11873544.4</v>
      </c>
      <c r="G34">
        <v>70805.540000000008</v>
      </c>
    </row>
    <row r="35" spans="1:7" x14ac:dyDescent="0.35">
      <c r="A35" t="s">
        <v>179</v>
      </c>
      <c r="B35">
        <v>130844.5</v>
      </c>
      <c r="C35">
        <v>1572750.89</v>
      </c>
      <c r="D35">
        <v>17232220.649999999</v>
      </c>
      <c r="E35">
        <v>0</v>
      </c>
      <c r="F35">
        <v>7115323.9100000001</v>
      </c>
      <c r="G35">
        <v>117760.05</v>
      </c>
    </row>
    <row r="36" spans="1:7" x14ac:dyDescent="0.35">
      <c r="A36" t="s">
        <v>187</v>
      </c>
      <c r="B36">
        <v>164582.88</v>
      </c>
      <c r="C36">
        <v>2293873.89</v>
      </c>
      <c r="D36">
        <v>33801208.979999997</v>
      </c>
      <c r="E36">
        <v>92577.87</v>
      </c>
      <c r="F36">
        <v>66398905.649999999</v>
      </c>
      <c r="G36">
        <v>113150.73</v>
      </c>
    </row>
    <row r="37" spans="1:7" x14ac:dyDescent="0.35"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Evelyn Tan</cp:lastModifiedBy>
  <dcterms:modified xsi:type="dcterms:W3CDTF">2026-10-04T23:32:56Z</dcterms:modified>
</cp:coreProperties>
</file>
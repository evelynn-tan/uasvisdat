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codeName="ThisWorkbook"/>
  <mc:AlternateContent xmlns:mc="http://schemas.openxmlformats.org/markup-compatibility/2006">
    <mc:Choice Requires="x15">
      <x15ac:absPath xmlns:x15ac="http://schemas.microsoft.com/office/spreadsheetml/2010/11/ac" url="C:\Users\Evelyn\Downloads\"/>
    </mc:Choice>
  </mc:AlternateContent>
  <xr:revisionPtr revIDLastSave="0" documentId="13_ncr:1_{022CF8C4-2070-4C30-B689-1F3A5732738B}"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N3" i="1"/>
  <c r="M3"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 i="1"/>
  <c r="H4" i="1"/>
  <c r="I4" i="1"/>
  <c r="J4" i="1"/>
  <c r="H5" i="1"/>
  <c r="I5" i="1"/>
  <c r="J5" i="1"/>
  <c r="H6" i="1"/>
  <c r="I6" i="1"/>
  <c r="J6" i="1"/>
  <c r="H7" i="1"/>
  <c r="I7" i="1"/>
  <c r="J7" i="1"/>
  <c r="H8" i="1"/>
  <c r="I8" i="1"/>
  <c r="J8" i="1"/>
  <c r="H9" i="1"/>
  <c r="I9" i="1"/>
  <c r="J9" i="1"/>
  <c r="H10" i="1"/>
  <c r="I10" i="1"/>
  <c r="J10" i="1"/>
  <c r="H11" i="1"/>
  <c r="I11" i="1"/>
  <c r="J11" i="1"/>
  <c r="H12" i="1"/>
  <c r="I12" i="1"/>
  <c r="J12" i="1"/>
  <c r="H13" i="1"/>
  <c r="I13" i="1"/>
  <c r="J13" i="1"/>
  <c r="H14" i="1"/>
  <c r="I14" i="1"/>
  <c r="J14" i="1"/>
  <c r="H15" i="1"/>
  <c r="I15" i="1"/>
  <c r="J15" i="1"/>
  <c r="H16" i="1"/>
  <c r="I16" i="1"/>
  <c r="J16" i="1"/>
  <c r="H17" i="1"/>
  <c r="I17" i="1"/>
  <c r="J17" i="1"/>
  <c r="H18" i="1"/>
  <c r="I18" i="1"/>
  <c r="J18" i="1"/>
  <c r="H19" i="1"/>
  <c r="I19" i="1"/>
  <c r="J19" i="1"/>
  <c r="H20" i="1"/>
  <c r="I20" i="1"/>
  <c r="J20" i="1"/>
  <c r="H21" i="1"/>
  <c r="I21" i="1"/>
  <c r="J21" i="1"/>
  <c r="H22" i="1"/>
  <c r="I22" i="1"/>
  <c r="J22" i="1"/>
  <c r="H23" i="1"/>
  <c r="I23" i="1"/>
  <c r="J23" i="1"/>
  <c r="H24" i="1"/>
  <c r="I24" i="1"/>
  <c r="J24" i="1"/>
  <c r="H25" i="1"/>
  <c r="I25" i="1"/>
  <c r="J25" i="1"/>
  <c r="H26" i="1"/>
  <c r="I26" i="1"/>
  <c r="J26" i="1"/>
  <c r="H27" i="1"/>
  <c r="I27" i="1"/>
  <c r="J27" i="1"/>
  <c r="H28" i="1"/>
  <c r="I28" i="1"/>
  <c r="J28" i="1"/>
  <c r="H29" i="1"/>
  <c r="I29" i="1"/>
  <c r="J29" i="1"/>
  <c r="H30" i="1"/>
  <c r="I30" i="1"/>
  <c r="J30" i="1"/>
  <c r="H31" i="1"/>
  <c r="I31" i="1"/>
  <c r="J31" i="1"/>
  <c r="H32" i="1"/>
  <c r="I32" i="1"/>
  <c r="J32" i="1"/>
  <c r="H33" i="1"/>
  <c r="I33" i="1"/>
  <c r="J33" i="1"/>
  <c r="H34" i="1"/>
  <c r="I34" i="1"/>
  <c r="J34" i="1"/>
  <c r="H35" i="1"/>
  <c r="I35" i="1"/>
  <c r="J35" i="1"/>
  <c r="H36" i="1"/>
  <c r="I36" i="1"/>
  <c r="J36" i="1"/>
  <c r="I3" i="1"/>
  <c r="J3" i="1"/>
  <c r="H3" i="1"/>
</calcChain>
</file>

<file path=xl/sharedStrings.xml><?xml version="1.0" encoding="utf-8"?>
<sst xmlns="http://schemas.openxmlformats.org/spreadsheetml/2006/main" count="85" uniqueCount="46">
  <si>
    <t>38 Provinsi</t>
  </si>
  <si>
    <t>Perkotaan</t>
  </si>
  <si>
    <t>Perdesaan</t>
  </si>
  <si>
    <t>Perkotaan+Perdesaan</t>
  </si>
  <si>
    <t>ACEH</t>
  </si>
  <si>
    <t>SUMATERA UTARA</t>
  </si>
  <si>
    <t>SUMATERA BARAT</t>
  </si>
  <si>
    <t>RIAU</t>
  </si>
  <si>
    <t>JAMBI</t>
  </si>
  <si>
    <t>SUMATERA SELATAN</t>
  </si>
  <si>
    <t>BENGKULU</t>
  </si>
  <si>
    <t>LAMPUNG</t>
  </si>
  <si>
    <t>KEP. BANGKA BELITUNG</t>
  </si>
  <si>
    <t>KEP. RIAU</t>
  </si>
  <si>
    <t>DKI JAKARTA</t>
  </si>
  <si>
    <t>0</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</si>
  <si>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</si>
  <si>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</si>
  <si>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</si>
  <si>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</si>
  <si>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</si>
  <si>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</si>
  <si>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</si>
  <si>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</si>
  <si>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</si>
  <si>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</si>
  <si>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</si>
  <si>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</si>
  <si>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</si>
  <si>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</si>
  <si>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</si>
  <si>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</si>
  <si>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</si>
  <si>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</si>
  <si>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</si>
  <si>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</si>
  <si>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</si>
  <si>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</si>
  <si>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t>
  </si>
  <si>
    <t>perkotaan</t>
  </si>
  <si>
    <t>perdesaan</t>
  </si>
  <si>
    <t>total</t>
  </si>
  <si>
    <t>jumlah rumah tangga</t>
  </si>
  <si>
    <t>Internet</t>
  </si>
  <si>
    <t>Provinsi</t>
  </si>
  <si>
    <t>Tidak Pernah Akses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</si>
</sst>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rgb="FF000000"/>
      <name val="Calibri"/>
    </font>
    <font>
      <b/>
      <sz val="11"/>
      <color rgb="FF000000"/>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1" fillId="0" borderId="0"/>
  </cellStyleXfs>
  <cellXfs count="8">
    <xf numFmtId="0" fontId="0" fillId="0" borderId="0" xfId="0"/>
    <xf numFmtId="2" fontId="1" fillId="0" borderId="1" xfId="1" applyNumberFormat="1" applyFill="1" applyBorder="1" applyAlignment="1">
      <alignment horizontal="right" vertical="center"/>
    </xf>
    <xf numFmtId="2" fontId="0" fillId="0" borderId="0" xfId="0" applyNumberFormat="1"/>
    <xf numFmtId="2" fontId="1" fillId="0" borderId="1" xfId="1" applyNumberFormat="1" applyFill="1" applyBorder="1" applyAlignment="1">
      <alignment horizontal="right" vertical="center"/>
    </xf>
    <xf numFmtId="0" fontId="2" fillId="0" borderId="3"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2" xfId="1" applyFont="1" applyFill="1" applyBorder="1" applyAlignment="1">
      <alignment horizontal="center" vertical="center" wrapText="1"/>
    </xf>
    <xf numFmtId="0" fontId="0" fillId="0" borderId="0" xfId="0" applyAlignment="1"/>
  </cellXfs>
  <cellStyles count="2">
    <cellStyle name="Normal" xfId="0" builtinId="0"/>
    <cellStyle name="Normal 2" xfId="1" xr:uid="{4ABA9A65-9313-4B84-A2CF-0699AC8D058C}"/>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
  <sheetViews>
    <sheetView zoomScale="69" workbookViewId="0">
      <selection activeCell="M3" sqref="M3:N36"/>
    </sheetView>
  </sheetViews>
  <sheetFormatPr defaultRowHeight="14.5" x14ac:dyDescent="0.35"/>
  <cols>
    <col min="1" max="1" width="32.25" customWidth="1"/>
    <col min="5" max="6" width="9.4140625" bestFit="1" customWidth="1"/>
    <col min="7" max="7" width="10.33203125" bestFit="1" customWidth="1"/>
    <col min="8" max="8" width="11.25" bestFit="1" customWidth="1"/>
  </cols>
  <sheetData>
    <row r="1" spans="1:14" ht="43.5" customHeight="1" x14ac:dyDescent="0.35">
      <c r="A1" s="7" t="s">
        <v>0</v>
      </c>
      <c r="B1" t="s">
        <v>43</v>
      </c>
      <c r="E1" s="4" t="s">
        <v>42</v>
      </c>
      <c r="F1" s="5"/>
      <c r="G1" s="6"/>
    </row>
    <row r="2" spans="1:14" ht="15.5" x14ac:dyDescent="0.35">
      <c r="A2" s="7"/>
      <c r="B2" t="s">
        <v>1</v>
      </c>
      <c r="C2" t="s">
        <v>2</v>
      </c>
      <c r="D2" t="s">
        <v>3</v>
      </c>
      <c r="E2" s="1" t="s">
        <v>39</v>
      </c>
      <c r="F2" s="1" t="s">
        <v>40</v>
      </c>
      <c r="G2" s="1" t="s">
        <v>41</v>
      </c>
    </row>
    <row r="3" spans="1:14" ht="15.5" x14ac:dyDescent="0.35">
      <c r="A3" t="s">
        <v>4</v>
      </c>
      <c r="B3" s="2">
        <v>85.64</v>
      </c>
      <c r="C3" s="2">
        <v>76.86</v>
      </c>
      <c r="D3" s="2">
        <v>79.849999999999994</v>
      </c>
      <c r="E3" s="3">
        <v>429621</v>
      </c>
      <c r="F3" s="3">
        <v>853211</v>
      </c>
      <c r="G3" s="3">
        <v>1282832</v>
      </c>
      <c r="H3" s="2">
        <f>B3*E3</f>
        <v>36792742.439999998</v>
      </c>
      <c r="I3" s="2">
        <f>C3*F3</f>
        <v>65577797.460000001</v>
      </c>
      <c r="J3" s="2">
        <f>D3*G3</f>
        <v>102434135.19999999</v>
      </c>
      <c r="K3" s="2">
        <f>100-B3</f>
        <v>14.36</v>
      </c>
      <c r="L3" s="2">
        <f>100-C3</f>
        <v>23.14</v>
      </c>
      <c r="M3">
        <f>K3*E3</f>
        <v>6169357.5599999996</v>
      </c>
      <c r="N3">
        <f>L3*F3</f>
        <v>19743302.539999999</v>
      </c>
    </row>
    <row r="4" spans="1:14" ht="15.5" x14ac:dyDescent="0.35">
      <c r="A4" t="s">
        <v>5</v>
      </c>
      <c r="B4" s="2">
        <v>89.95</v>
      </c>
      <c r="C4" s="2">
        <v>82.3</v>
      </c>
      <c r="D4" s="2">
        <v>86.61</v>
      </c>
      <c r="E4" s="3">
        <v>1935211</v>
      </c>
      <c r="F4" s="3">
        <v>1592062</v>
      </c>
      <c r="G4" s="3">
        <v>3527273</v>
      </c>
      <c r="H4" s="2">
        <f t="shared" ref="H4:H36" si="0">B4*E4</f>
        <v>174072229.45000002</v>
      </c>
      <c r="I4" s="2">
        <f t="shared" ref="I4:I36" si="1">C4*F4</f>
        <v>131026702.59999999</v>
      </c>
      <c r="J4" s="2">
        <f t="shared" ref="J4:J36" si="2">D4*G4</f>
        <v>305497114.52999997</v>
      </c>
      <c r="K4" s="2">
        <f t="shared" ref="K4:L36" si="3">100-B4</f>
        <v>10.049999999999997</v>
      </c>
      <c r="L4" s="2">
        <f t="shared" si="3"/>
        <v>17.700000000000003</v>
      </c>
      <c r="M4">
        <f t="shared" ref="M4:M36" si="4">K4*E4</f>
        <v>19448870.549999993</v>
      </c>
      <c r="N4">
        <f t="shared" ref="N4:N36" si="5">L4*F4</f>
        <v>28179497.400000006</v>
      </c>
    </row>
    <row r="5" spans="1:14" ht="15.5" x14ac:dyDescent="0.35">
      <c r="A5" t="s">
        <v>6</v>
      </c>
      <c r="B5" s="2">
        <v>91.71</v>
      </c>
      <c r="C5" s="2">
        <v>83.41</v>
      </c>
      <c r="D5" s="2">
        <v>87.52</v>
      </c>
      <c r="E5" s="3">
        <v>639736</v>
      </c>
      <c r="F5" s="3">
        <v>698055</v>
      </c>
      <c r="G5" s="3">
        <v>1337791</v>
      </c>
      <c r="H5" s="2">
        <f t="shared" si="0"/>
        <v>58670188.559999995</v>
      </c>
      <c r="I5" s="2">
        <f t="shared" si="1"/>
        <v>58224767.549999997</v>
      </c>
      <c r="J5" s="2">
        <f t="shared" si="2"/>
        <v>117083468.31999999</v>
      </c>
      <c r="K5" s="2">
        <f t="shared" si="3"/>
        <v>8.2900000000000063</v>
      </c>
      <c r="L5" s="2">
        <f t="shared" si="3"/>
        <v>16.590000000000003</v>
      </c>
      <c r="M5">
        <f t="shared" si="4"/>
        <v>5303411.4400000041</v>
      </c>
      <c r="N5">
        <f t="shared" si="5"/>
        <v>11580732.450000003</v>
      </c>
    </row>
    <row r="6" spans="1:14" ht="15.5" x14ac:dyDescent="0.35">
      <c r="A6" t="s">
        <v>7</v>
      </c>
      <c r="B6" s="2">
        <v>93.93</v>
      </c>
      <c r="C6" s="2">
        <v>89.05</v>
      </c>
      <c r="D6" s="2">
        <v>91.01</v>
      </c>
      <c r="E6" s="3">
        <v>623161</v>
      </c>
      <c r="F6" s="3">
        <v>963337</v>
      </c>
      <c r="G6" s="3">
        <v>1586498</v>
      </c>
      <c r="H6" s="2">
        <f t="shared" si="0"/>
        <v>58533512.730000004</v>
      </c>
      <c r="I6" s="2">
        <f t="shared" si="1"/>
        <v>85785159.849999994</v>
      </c>
      <c r="J6" s="2">
        <f t="shared" si="2"/>
        <v>144387182.98000002</v>
      </c>
      <c r="K6" s="2">
        <f t="shared" si="3"/>
        <v>6.0699999999999932</v>
      </c>
      <c r="L6" s="2">
        <f t="shared" si="3"/>
        <v>10.950000000000003</v>
      </c>
      <c r="M6">
        <f t="shared" si="4"/>
        <v>3782587.2699999958</v>
      </c>
      <c r="N6">
        <f t="shared" si="5"/>
        <v>10548540.150000002</v>
      </c>
    </row>
    <row r="7" spans="1:14" ht="15.5" x14ac:dyDescent="0.35">
      <c r="A7" t="s">
        <v>8</v>
      </c>
      <c r="B7" s="2">
        <v>92.2</v>
      </c>
      <c r="C7" s="2">
        <v>85.04</v>
      </c>
      <c r="D7" s="2">
        <v>87.34</v>
      </c>
      <c r="E7" s="3">
        <v>296355</v>
      </c>
      <c r="F7" s="3">
        <v>607245</v>
      </c>
      <c r="G7" s="3">
        <v>903600</v>
      </c>
      <c r="H7" s="2">
        <f t="shared" si="0"/>
        <v>27323931</v>
      </c>
      <c r="I7" s="2">
        <f t="shared" si="1"/>
        <v>51640114.800000004</v>
      </c>
      <c r="J7" s="2">
        <f t="shared" si="2"/>
        <v>78920424</v>
      </c>
      <c r="K7" s="2">
        <f t="shared" si="3"/>
        <v>7.7999999999999972</v>
      </c>
      <c r="L7" s="2">
        <f t="shared" si="3"/>
        <v>14.959999999999994</v>
      </c>
      <c r="M7">
        <f t="shared" si="4"/>
        <v>2311568.9999999991</v>
      </c>
      <c r="N7">
        <f t="shared" si="5"/>
        <v>9084385.1999999955</v>
      </c>
    </row>
    <row r="8" spans="1:14" ht="15.5" x14ac:dyDescent="0.35">
      <c r="A8" t="s">
        <v>9</v>
      </c>
      <c r="B8" s="2">
        <v>91.85</v>
      </c>
      <c r="C8" s="2">
        <v>82.37</v>
      </c>
      <c r="D8" s="2">
        <v>85.79</v>
      </c>
      <c r="E8" s="3">
        <v>759596</v>
      </c>
      <c r="F8" s="3">
        <v>1344485</v>
      </c>
      <c r="G8" s="3">
        <v>2104081</v>
      </c>
      <c r="H8" s="2">
        <f t="shared" si="0"/>
        <v>69768892.599999994</v>
      </c>
      <c r="I8" s="2">
        <f t="shared" si="1"/>
        <v>110745229.45</v>
      </c>
      <c r="J8" s="2">
        <f t="shared" si="2"/>
        <v>180509108.99000001</v>
      </c>
      <c r="K8" s="2">
        <f t="shared" si="3"/>
        <v>8.1500000000000057</v>
      </c>
      <c r="L8" s="2">
        <f t="shared" si="3"/>
        <v>17.629999999999995</v>
      </c>
      <c r="M8">
        <f t="shared" si="4"/>
        <v>6190707.4000000041</v>
      </c>
      <c r="N8">
        <f t="shared" si="5"/>
        <v>23703270.549999993</v>
      </c>
    </row>
    <row r="9" spans="1:14" ht="15.5" x14ac:dyDescent="0.35">
      <c r="A9" t="s">
        <v>10</v>
      </c>
      <c r="B9" s="2">
        <v>93.23</v>
      </c>
      <c r="C9" s="2">
        <v>83.15</v>
      </c>
      <c r="D9" s="2">
        <v>86.43</v>
      </c>
      <c r="E9" s="3">
        <v>170432</v>
      </c>
      <c r="F9" s="3">
        <v>348293</v>
      </c>
      <c r="G9" s="3">
        <v>518725</v>
      </c>
      <c r="H9" s="2">
        <f t="shared" si="0"/>
        <v>15889375.360000001</v>
      </c>
      <c r="I9" s="2">
        <f t="shared" si="1"/>
        <v>28960562.950000003</v>
      </c>
      <c r="J9" s="2">
        <f t="shared" si="2"/>
        <v>44833401.75</v>
      </c>
      <c r="K9" s="2">
        <f t="shared" si="3"/>
        <v>6.769999999999996</v>
      </c>
      <c r="L9" s="2">
        <f t="shared" si="3"/>
        <v>16.849999999999994</v>
      </c>
      <c r="M9">
        <f t="shared" si="4"/>
        <v>1153824.6399999994</v>
      </c>
      <c r="N9">
        <f t="shared" si="5"/>
        <v>5868737.049999998</v>
      </c>
    </row>
    <row r="10" spans="1:14" ht="15.5" x14ac:dyDescent="0.35">
      <c r="A10" t="s">
        <v>11</v>
      </c>
      <c r="B10" s="2">
        <v>91.22</v>
      </c>
      <c r="C10" s="2">
        <v>86.38</v>
      </c>
      <c r="D10" s="2">
        <v>87.9</v>
      </c>
      <c r="E10" s="3">
        <v>726067</v>
      </c>
      <c r="F10" s="3">
        <v>1597221</v>
      </c>
      <c r="G10" s="3">
        <v>2323288</v>
      </c>
      <c r="H10" s="2">
        <f t="shared" si="0"/>
        <v>66231831.740000002</v>
      </c>
      <c r="I10" s="2">
        <f t="shared" si="1"/>
        <v>137967949.97999999</v>
      </c>
      <c r="J10" s="2">
        <f t="shared" si="2"/>
        <v>204217015.20000002</v>
      </c>
      <c r="K10" s="2">
        <f t="shared" si="3"/>
        <v>8.7800000000000011</v>
      </c>
      <c r="L10" s="2">
        <f t="shared" si="3"/>
        <v>13.620000000000005</v>
      </c>
      <c r="M10">
        <f t="shared" si="4"/>
        <v>6374868.2600000007</v>
      </c>
      <c r="N10">
        <f t="shared" si="5"/>
        <v>21754150.020000007</v>
      </c>
    </row>
    <row r="11" spans="1:14" ht="15.5" x14ac:dyDescent="0.35">
      <c r="A11" t="s">
        <v>12</v>
      </c>
      <c r="B11" s="2">
        <v>91.67</v>
      </c>
      <c r="C11" s="2">
        <v>87.35</v>
      </c>
      <c r="D11" s="2">
        <v>89.81</v>
      </c>
      <c r="E11" s="3">
        <v>222419</v>
      </c>
      <c r="F11" s="3">
        <v>158626</v>
      </c>
      <c r="G11" s="3">
        <v>381045</v>
      </c>
      <c r="H11" s="2">
        <f t="shared" si="0"/>
        <v>20389149.73</v>
      </c>
      <c r="I11" s="2">
        <f t="shared" si="1"/>
        <v>13855981.1</v>
      </c>
      <c r="J11" s="2">
        <f t="shared" si="2"/>
        <v>34221651.450000003</v>
      </c>
      <c r="K11" s="2">
        <f t="shared" si="3"/>
        <v>8.3299999999999983</v>
      </c>
      <c r="L11" s="2">
        <f t="shared" si="3"/>
        <v>12.650000000000006</v>
      </c>
      <c r="M11">
        <f t="shared" si="4"/>
        <v>1852750.2699999996</v>
      </c>
      <c r="N11">
        <f t="shared" si="5"/>
        <v>2006618.9000000008</v>
      </c>
    </row>
    <row r="12" spans="1:14" ht="15.5" x14ac:dyDescent="0.35">
      <c r="A12" t="s">
        <v>13</v>
      </c>
      <c r="B12" s="2">
        <v>96.59</v>
      </c>
      <c r="C12" s="2">
        <v>84.07</v>
      </c>
      <c r="D12" s="2">
        <v>95.26</v>
      </c>
      <c r="E12" s="3">
        <v>501158</v>
      </c>
      <c r="F12" s="3">
        <v>73656</v>
      </c>
      <c r="G12" s="3">
        <v>574814</v>
      </c>
      <c r="H12" s="2">
        <f t="shared" si="0"/>
        <v>48406851.219999999</v>
      </c>
      <c r="I12" s="2">
        <f t="shared" si="1"/>
        <v>6192259.9199999999</v>
      </c>
      <c r="J12" s="2">
        <f t="shared" si="2"/>
        <v>54756781.640000001</v>
      </c>
      <c r="K12" s="2">
        <f t="shared" si="3"/>
        <v>3.4099999999999966</v>
      </c>
      <c r="L12" s="2">
        <f t="shared" si="3"/>
        <v>15.930000000000007</v>
      </c>
      <c r="M12">
        <f t="shared" si="4"/>
        <v>1708948.7799999984</v>
      </c>
      <c r="N12">
        <f t="shared" si="5"/>
        <v>1173340.0800000005</v>
      </c>
    </row>
    <row r="13" spans="1:14" ht="15.5" x14ac:dyDescent="0.35">
      <c r="A13" t="s">
        <v>14</v>
      </c>
      <c r="B13" s="2">
        <v>95.39</v>
      </c>
      <c r="C13" s="2" t="s">
        <v>15</v>
      </c>
      <c r="D13" s="2">
        <v>95.39</v>
      </c>
      <c r="E13" s="3">
        <v>2788989</v>
      </c>
      <c r="F13" s="3"/>
      <c r="G13" s="3">
        <v>2788989</v>
      </c>
      <c r="H13" s="2">
        <f t="shared" si="0"/>
        <v>266041660.71000001</v>
      </c>
      <c r="I13" s="2">
        <f t="shared" si="1"/>
        <v>0</v>
      </c>
      <c r="J13" s="2">
        <f t="shared" si="2"/>
        <v>266041660.71000001</v>
      </c>
      <c r="K13" s="2">
        <f t="shared" si="3"/>
        <v>4.6099999999999994</v>
      </c>
      <c r="L13" s="2">
        <f t="shared" si="3"/>
        <v>100</v>
      </c>
      <c r="M13">
        <f t="shared" si="4"/>
        <v>12857239.289999999</v>
      </c>
      <c r="N13">
        <f t="shared" si="5"/>
        <v>0</v>
      </c>
    </row>
    <row r="14" spans="1:14" ht="15.5" x14ac:dyDescent="0.35">
      <c r="A14" t="s">
        <v>16</v>
      </c>
      <c r="B14" s="2">
        <v>90.23</v>
      </c>
      <c r="C14" s="2">
        <v>78.33</v>
      </c>
      <c r="D14" s="2">
        <v>87.57</v>
      </c>
      <c r="E14" s="3">
        <v>9945926</v>
      </c>
      <c r="F14" s="3">
        <v>3167483</v>
      </c>
      <c r="G14" s="3">
        <v>13113409</v>
      </c>
      <c r="H14" s="2">
        <f t="shared" si="0"/>
        <v>897420902.98000002</v>
      </c>
      <c r="I14" s="2">
        <f t="shared" si="1"/>
        <v>248108943.38999999</v>
      </c>
      <c r="J14" s="2">
        <f t="shared" si="2"/>
        <v>1148341226.1299999</v>
      </c>
      <c r="K14" s="2">
        <f t="shared" si="3"/>
        <v>9.769999999999996</v>
      </c>
      <c r="L14" s="2">
        <f t="shared" si="3"/>
        <v>21.67</v>
      </c>
      <c r="M14">
        <f t="shared" si="4"/>
        <v>97171697.019999966</v>
      </c>
      <c r="N14">
        <f t="shared" si="5"/>
        <v>68639356.609999999</v>
      </c>
    </row>
    <row r="15" spans="1:14" ht="15.5" x14ac:dyDescent="0.35">
      <c r="A15" t="s">
        <v>17</v>
      </c>
      <c r="B15" s="2">
        <v>90.18</v>
      </c>
      <c r="C15" s="2">
        <v>86.13</v>
      </c>
      <c r="D15" s="2">
        <v>88.24</v>
      </c>
      <c r="E15" s="3">
        <v>5011139</v>
      </c>
      <c r="F15" s="3">
        <v>4910155</v>
      </c>
      <c r="G15" s="3">
        <v>9921294</v>
      </c>
      <c r="H15" s="2">
        <f t="shared" si="0"/>
        <v>451904515.02000004</v>
      </c>
      <c r="I15" s="2">
        <f t="shared" si="1"/>
        <v>422911650.14999998</v>
      </c>
      <c r="J15" s="2">
        <f t="shared" si="2"/>
        <v>875454982.55999994</v>
      </c>
      <c r="K15" s="2">
        <f t="shared" si="3"/>
        <v>9.8199999999999932</v>
      </c>
      <c r="L15" s="2">
        <f t="shared" si="3"/>
        <v>13.870000000000005</v>
      </c>
      <c r="M15">
        <f t="shared" si="4"/>
        <v>49209384.979999967</v>
      </c>
      <c r="N15">
        <f t="shared" si="5"/>
        <v>68103849.850000024</v>
      </c>
    </row>
    <row r="16" spans="1:14" ht="15.5" x14ac:dyDescent="0.35">
      <c r="A16" t="s">
        <v>18</v>
      </c>
      <c r="B16" s="2">
        <v>90.58</v>
      </c>
      <c r="C16" s="2">
        <v>84.09</v>
      </c>
      <c r="D16" s="2">
        <v>89.03</v>
      </c>
      <c r="E16" s="3">
        <v>838319</v>
      </c>
      <c r="F16" s="3">
        <v>289549</v>
      </c>
      <c r="G16" s="3">
        <v>1127868</v>
      </c>
      <c r="H16" s="2">
        <f t="shared" si="0"/>
        <v>75934935.019999996</v>
      </c>
      <c r="I16" s="2">
        <f t="shared" si="1"/>
        <v>24348175.41</v>
      </c>
      <c r="J16" s="2">
        <f t="shared" si="2"/>
        <v>100414088.04000001</v>
      </c>
      <c r="K16" s="2">
        <f t="shared" si="3"/>
        <v>9.4200000000000017</v>
      </c>
      <c r="L16" s="2">
        <f t="shared" si="3"/>
        <v>15.909999999999997</v>
      </c>
      <c r="M16">
        <f t="shared" si="4"/>
        <v>7896964.9800000014</v>
      </c>
      <c r="N16">
        <f t="shared" si="5"/>
        <v>4606724.5899999989</v>
      </c>
    </row>
    <row r="17" spans="1:14" ht="15.5" x14ac:dyDescent="0.35">
      <c r="A17" t="s">
        <v>19</v>
      </c>
      <c r="B17" s="2">
        <v>88.65</v>
      </c>
      <c r="C17" s="2">
        <v>80.72</v>
      </c>
      <c r="D17" s="2">
        <v>85.11</v>
      </c>
      <c r="E17" s="3">
        <v>6087566</v>
      </c>
      <c r="F17" s="3">
        <v>5259769</v>
      </c>
      <c r="G17" s="3">
        <v>11347335</v>
      </c>
      <c r="H17" s="2">
        <f t="shared" si="0"/>
        <v>539662725.89999998</v>
      </c>
      <c r="I17" s="2">
        <f t="shared" si="1"/>
        <v>424568553.68000001</v>
      </c>
      <c r="J17" s="2">
        <f t="shared" si="2"/>
        <v>965771681.85000002</v>
      </c>
      <c r="K17" s="2">
        <f t="shared" si="3"/>
        <v>11.349999999999994</v>
      </c>
      <c r="L17" s="2">
        <f t="shared" si="3"/>
        <v>19.28</v>
      </c>
      <c r="M17">
        <f t="shared" si="4"/>
        <v>69093874.099999964</v>
      </c>
      <c r="N17">
        <f t="shared" si="5"/>
        <v>101408346.32000001</v>
      </c>
    </row>
    <row r="18" spans="1:14" ht="15.5" x14ac:dyDescent="0.35">
      <c r="A18" t="s">
        <v>20</v>
      </c>
      <c r="B18" s="2">
        <v>93.84</v>
      </c>
      <c r="C18" s="2">
        <v>82.77</v>
      </c>
      <c r="D18" s="2">
        <v>91.11</v>
      </c>
      <c r="E18" s="3">
        <v>2203074</v>
      </c>
      <c r="F18" s="3">
        <v>792022</v>
      </c>
      <c r="G18" s="3">
        <v>2995096</v>
      </c>
      <c r="H18" s="2">
        <f t="shared" si="0"/>
        <v>206736464.16</v>
      </c>
      <c r="I18" s="2">
        <f t="shared" si="1"/>
        <v>65555660.939999998</v>
      </c>
      <c r="J18" s="2">
        <f t="shared" si="2"/>
        <v>272883196.56</v>
      </c>
      <c r="K18" s="2">
        <f t="shared" si="3"/>
        <v>6.1599999999999966</v>
      </c>
      <c r="L18" s="2">
        <f t="shared" si="3"/>
        <v>17.230000000000004</v>
      </c>
      <c r="M18">
        <f t="shared" si="4"/>
        <v>13570935.839999992</v>
      </c>
      <c r="N18">
        <f t="shared" si="5"/>
        <v>13646539.060000002</v>
      </c>
    </row>
    <row r="19" spans="1:14" ht="15.5" x14ac:dyDescent="0.35">
      <c r="A19" t="s">
        <v>21</v>
      </c>
      <c r="B19" s="2">
        <v>93.78</v>
      </c>
      <c r="C19" s="2">
        <v>85.09</v>
      </c>
      <c r="D19" s="2">
        <v>91.21</v>
      </c>
      <c r="E19" s="3">
        <v>782942</v>
      </c>
      <c r="F19" s="3">
        <v>383210</v>
      </c>
      <c r="G19" s="3">
        <v>1166152</v>
      </c>
      <c r="H19" s="2">
        <f t="shared" si="0"/>
        <v>73424300.760000005</v>
      </c>
      <c r="I19" s="2">
        <f t="shared" si="1"/>
        <v>32607338.900000002</v>
      </c>
      <c r="J19" s="2">
        <f t="shared" si="2"/>
        <v>106364723.91999999</v>
      </c>
      <c r="K19" s="2">
        <f t="shared" si="3"/>
        <v>6.2199999999999989</v>
      </c>
      <c r="L19" s="2">
        <f t="shared" si="3"/>
        <v>14.909999999999997</v>
      </c>
      <c r="M19">
        <f t="shared" si="4"/>
        <v>4869899.2399999993</v>
      </c>
      <c r="N19">
        <f t="shared" si="5"/>
        <v>5713661.0999999987</v>
      </c>
    </row>
    <row r="20" spans="1:14" ht="15.5" x14ac:dyDescent="0.35">
      <c r="A20" t="s">
        <v>22</v>
      </c>
      <c r="B20" s="2">
        <v>84.56</v>
      </c>
      <c r="C20" s="2">
        <v>75.040000000000006</v>
      </c>
      <c r="D20" s="2">
        <v>79.77</v>
      </c>
      <c r="E20" s="3">
        <v>754579</v>
      </c>
      <c r="F20" s="3">
        <v>768154</v>
      </c>
      <c r="G20" s="3">
        <v>1522733</v>
      </c>
      <c r="H20" s="2">
        <f t="shared" si="0"/>
        <v>63807200.240000002</v>
      </c>
      <c r="I20" s="2">
        <f t="shared" si="1"/>
        <v>57642276.160000004</v>
      </c>
      <c r="J20" s="2">
        <f t="shared" si="2"/>
        <v>121468411.41</v>
      </c>
      <c r="K20" s="2">
        <f t="shared" si="3"/>
        <v>15.439999999999998</v>
      </c>
      <c r="L20" s="2">
        <f t="shared" si="3"/>
        <v>24.959999999999994</v>
      </c>
      <c r="M20">
        <f t="shared" si="4"/>
        <v>11650699.759999998</v>
      </c>
      <c r="N20">
        <f t="shared" si="5"/>
        <v>19173123.839999996</v>
      </c>
    </row>
    <row r="21" spans="1:14" ht="15.5" x14ac:dyDescent="0.35">
      <c r="A21" t="s">
        <v>23</v>
      </c>
      <c r="B21" s="2">
        <v>91.52</v>
      </c>
      <c r="C21" s="2">
        <v>67.959999999999994</v>
      </c>
      <c r="D21" s="2">
        <v>74.23</v>
      </c>
      <c r="E21" s="3">
        <v>308299</v>
      </c>
      <c r="F21" s="3">
        <v>874952</v>
      </c>
      <c r="G21" s="3">
        <v>1183251</v>
      </c>
      <c r="H21" s="2">
        <f t="shared" si="0"/>
        <v>28215524.48</v>
      </c>
      <c r="I21" s="2">
        <f t="shared" si="1"/>
        <v>59461737.919999994</v>
      </c>
      <c r="J21" s="2">
        <f t="shared" si="2"/>
        <v>87832721.730000004</v>
      </c>
      <c r="K21" s="2">
        <f t="shared" si="3"/>
        <v>8.480000000000004</v>
      </c>
      <c r="L21" s="2">
        <f t="shared" si="3"/>
        <v>32.040000000000006</v>
      </c>
      <c r="M21">
        <f t="shared" si="4"/>
        <v>2614375.5200000014</v>
      </c>
      <c r="N21">
        <f t="shared" si="5"/>
        <v>28033462.080000006</v>
      </c>
    </row>
    <row r="22" spans="1:14" ht="15.5" x14ac:dyDescent="0.35">
      <c r="A22" t="s">
        <v>24</v>
      </c>
      <c r="B22" s="2">
        <v>92.12</v>
      </c>
      <c r="C22" s="2">
        <v>80.56</v>
      </c>
      <c r="D22" s="2">
        <v>84.74</v>
      </c>
      <c r="E22" s="3">
        <v>459688</v>
      </c>
      <c r="F22" s="3">
        <v>827957</v>
      </c>
      <c r="G22" s="3">
        <v>1287645</v>
      </c>
      <c r="H22" s="2">
        <f t="shared" si="0"/>
        <v>42346458.560000002</v>
      </c>
      <c r="I22" s="2">
        <f t="shared" si="1"/>
        <v>66700215.920000002</v>
      </c>
      <c r="J22" s="2">
        <f t="shared" si="2"/>
        <v>109115037.3</v>
      </c>
      <c r="K22" s="2">
        <f t="shared" si="3"/>
        <v>7.8799999999999955</v>
      </c>
      <c r="L22" s="2">
        <f t="shared" si="3"/>
        <v>19.439999999999998</v>
      </c>
      <c r="M22">
        <f t="shared" si="4"/>
        <v>3622341.4399999981</v>
      </c>
      <c r="N22">
        <f t="shared" si="5"/>
        <v>16095484.079999998</v>
      </c>
    </row>
    <row r="23" spans="1:14" ht="15.5" x14ac:dyDescent="0.35">
      <c r="A23" t="s">
        <v>25</v>
      </c>
      <c r="B23" s="2">
        <v>92.91</v>
      </c>
      <c r="C23" s="2">
        <v>79.05</v>
      </c>
      <c r="D23" s="2">
        <v>84.76</v>
      </c>
      <c r="E23" s="3">
        <v>298377</v>
      </c>
      <c r="F23" s="3">
        <v>411138</v>
      </c>
      <c r="G23" s="3">
        <v>709515</v>
      </c>
      <c r="H23" s="2">
        <f t="shared" si="0"/>
        <v>27722207.07</v>
      </c>
      <c r="I23" s="2">
        <f t="shared" si="1"/>
        <v>32500458.899999999</v>
      </c>
      <c r="J23" s="2">
        <f t="shared" si="2"/>
        <v>60138491.400000006</v>
      </c>
      <c r="K23" s="2">
        <f t="shared" si="3"/>
        <v>7.0900000000000034</v>
      </c>
      <c r="L23" s="2">
        <f t="shared" si="3"/>
        <v>20.950000000000003</v>
      </c>
      <c r="M23">
        <f t="shared" si="4"/>
        <v>2115492.9300000011</v>
      </c>
      <c r="N23">
        <f t="shared" si="5"/>
        <v>8613341.1000000015</v>
      </c>
    </row>
    <row r="24" spans="1:14" ht="15.5" x14ac:dyDescent="0.35">
      <c r="A24" t="s">
        <v>26</v>
      </c>
      <c r="B24" s="2">
        <v>90.35</v>
      </c>
      <c r="C24" s="2">
        <v>84.17</v>
      </c>
      <c r="D24" s="2">
        <v>87.21</v>
      </c>
      <c r="E24" s="3">
        <v>539273</v>
      </c>
      <c r="F24" s="3">
        <v>584713</v>
      </c>
      <c r="G24" s="3">
        <v>1123986</v>
      </c>
      <c r="H24" s="2">
        <f t="shared" si="0"/>
        <v>48723315.549999997</v>
      </c>
      <c r="I24" s="2">
        <f t="shared" si="1"/>
        <v>49215293.210000001</v>
      </c>
      <c r="J24" s="2">
        <f t="shared" si="2"/>
        <v>98022819.059999987</v>
      </c>
      <c r="K24" s="2">
        <f t="shared" si="3"/>
        <v>9.6500000000000057</v>
      </c>
      <c r="L24" s="2">
        <f t="shared" si="3"/>
        <v>15.829999999999998</v>
      </c>
      <c r="M24">
        <f t="shared" si="4"/>
        <v>5203984.450000003</v>
      </c>
      <c r="N24">
        <f t="shared" si="5"/>
        <v>9256006.7899999991</v>
      </c>
    </row>
    <row r="25" spans="1:14" ht="15.5" x14ac:dyDescent="0.35">
      <c r="A25" t="s">
        <v>27</v>
      </c>
      <c r="B25" s="2">
        <v>94.41</v>
      </c>
      <c r="C25" s="2">
        <v>89.99</v>
      </c>
      <c r="D25" s="2">
        <v>93.06</v>
      </c>
      <c r="E25" s="3">
        <v>655656</v>
      </c>
      <c r="F25" s="3">
        <v>304192</v>
      </c>
      <c r="G25" s="3">
        <v>959848</v>
      </c>
      <c r="H25" s="2">
        <f t="shared" si="0"/>
        <v>61900482.960000001</v>
      </c>
      <c r="I25" s="2">
        <f t="shared" si="1"/>
        <v>27374238.079999998</v>
      </c>
      <c r="J25" s="2">
        <f t="shared" si="2"/>
        <v>89323454.879999995</v>
      </c>
      <c r="K25" s="2">
        <f t="shared" si="3"/>
        <v>5.5900000000000034</v>
      </c>
      <c r="L25" s="2">
        <f t="shared" si="3"/>
        <v>10.010000000000005</v>
      </c>
      <c r="M25">
        <f t="shared" si="4"/>
        <v>3665117.0400000024</v>
      </c>
      <c r="N25">
        <f t="shared" si="5"/>
        <v>3044961.9200000018</v>
      </c>
    </row>
    <row r="26" spans="1:14" ht="15.5" x14ac:dyDescent="0.35">
      <c r="A26" t="s">
        <v>28</v>
      </c>
      <c r="B26" s="2">
        <v>96.95</v>
      </c>
      <c r="C26" s="2">
        <v>89.62</v>
      </c>
      <c r="D26" s="2">
        <v>94.27</v>
      </c>
      <c r="E26" s="3">
        <v>105590</v>
      </c>
      <c r="F26" s="3">
        <v>58492</v>
      </c>
      <c r="G26" s="3">
        <v>164082</v>
      </c>
      <c r="H26" s="2">
        <f t="shared" si="0"/>
        <v>10236950.5</v>
      </c>
      <c r="I26" s="2">
        <f t="shared" si="1"/>
        <v>5242053.04</v>
      </c>
      <c r="J26" s="2">
        <f t="shared" si="2"/>
        <v>15468010.139999999</v>
      </c>
      <c r="K26" s="2">
        <f t="shared" si="3"/>
        <v>3.0499999999999972</v>
      </c>
      <c r="L26" s="2">
        <f t="shared" si="3"/>
        <v>10.379999999999995</v>
      </c>
      <c r="M26">
        <f t="shared" si="4"/>
        <v>322049.49999999971</v>
      </c>
      <c r="N26">
        <f t="shared" si="5"/>
        <v>607146.95999999973</v>
      </c>
    </row>
    <row r="27" spans="1:14" ht="15.5" x14ac:dyDescent="0.35">
      <c r="A27" t="s">
        <v>29</v>
      </c>
      <c r="B27" s="2">
        <v>87.16</v>
      </c>
      <c r="C27" s="2">
        <v>79.06</v>
      </c>
      <c r="D27" s="2">
        <v>83.54</v>
      </c>
      <c r="E27" s="3">
        <v>365921</v>
      </c>
      <c r="F27" s="3">
        <v>313861</v>
      </c>
      <c r="G27" s="3">
        <v>679782</v>
      </c>
      <c r="H27" s="2">
        <f t="shared" si="0"/>
        <v>31893674.359999999</v>
      </c>
      <c r="I27" s="2">
        <f t="shared" si="1"/>
        <v>24813850.66</v>
      </c>
      <c r="J27" s="2">
        <f t="shared" si="2"/>
        <v>56788988.280000001</v>
      </c>
      <c r="K27" s="2">
        <f t="shared" si="3"/>
        <v>12.840000000000003</v>
      </c>
      <c r="L27" s="2">
        <f t="shared" si="3"/>
        <v>20.939999999999998</v>
      </c>
      <c r="M27">
        <f t="shared" si="4"/>
        <v>4698425.6400000015</v>
      </c>
      <c r="N27">
        <f t="shared" si="5"/>
        <v>6572249.3399999989</v>
      </c>
    </row>
    <row r="28" spans="1:14" ht="15.5" x14ac:dyDescent="0.35">
      <c r="A28" t="s">
        <v>30</v>
      </c>
      <c r="B28" s="2">
        <v>90.62</v>
      </c>
      <c r="C28" s="2">
        <v>78.27</v>
      </c>
      <c r="D28" s="2">
        <v>82.23</v>
      </c>
      <c r="E28" s="3">
        <v>225870</v>
      </c>
      <c r="F28" s="3">
        <v>496117</v>
      </c>
      <c r="G28" s="3">
        <v>721987</v>
      </c>
      <c r="H28" s="2">
        <f t="shared" si="0"/>
        <v>20468339.400000002</v>
      </c>
      <c r="I28" s="2">
        <f t="shared" si="1"/>
        <v>38831077.589999996</v>
      </c>
      <c r="J28" s="2">
        <f t="shared" si="2"/>
        <v>59368991.010000005</v>
      </c>
      <c r="K28" s="2">
        <f t="shared" si="3"/>
        <v>9.3799999999999955</v>
      </c>
      <c r="L28" s="2">
        <f t="shared" si="3"/>
        <v>21.730000000000004</v>
      </c>
      <c r="M28">
        <f t="shared" si="4"/>
        <v>2118660.5999999992</v>
      </c>
      <c r="N28">
        <f t="shared" si="5"/>
        <v>10780622.410000002</v>
      </c>
    </row>
    <row r="29" spans="1:14" ht="15.5" x14ac:dyDescent="0.35">
      <c r="A29" t="s">
        <v>31</v>
      </c>
      <c r="B29" s="2">
        <v>92.02</v>
      </c>
      <c r="C29" s="2">
        <v>85.11</v>
      </c>
      <c r="D29" s="2">
        <v>88.33</v>
      </c>
      <c r="E29" s="3">
        <v>922861</v>
      </c>
      <c r="F29" s="3">
        <v>1190370</v>
      </c>
      <c r="G29" s="3">
        <v>2113231</v>
      </c>
      <c r="H29" s="2">
        <f t="shared" si="0"/>
        <v>84921669.219999999</v>
      </c>
      <c r="I29" s="2">
        <f t="shared" si="1"/>
        <v>101312390.7</v>
      </c>
      <c r="J29" s="2">
        <f t="shared" si="2"/>
        <v>186661694.22999999</v>
      </c>
      <c r="K29" s="2">
        <f t="shared" si="3"/>
        <v>7.980000000000004</v>
      </c>
      <c r="L29" s="2">
        <f t="shared" si="3"/>
        <v>14.89</v>
      </c>
      <c r="M29">
        <f t="shared" si="4"/>
        <v>7364430.780000004</v>
      </c>
      <c r="N29">
        <f t="shared" si="5"/>
        <v>17724609.300000001</v>
      </c>
    </row>
    <row r="30" spans="1:14" ht="15.5" x14ac:dyDescent="0.35">
      <c r="A30" t="s">
        <v>32</v>
      </c>
      <c r="B30" s="2">
        <v>92.52</v>
      </c>
      <c r="C30" s="2">
        <v>84.77</v>
      </c>
      <c r="D30" s="2">
        <v>87.6</v>
      </c>
      <c r="E30" s="3">
        <v>226671</v>
      </c>
      <c r="F30" s="3">
        <v>379837</v>
      </c>
      <c r="G30" s="3">
        <v>606508</v>
      </c>
      <c r="H30" s="2">
        <f t="shared" si="0"/>
        <v>20971600.919999998</v>
      </c>
      <c r="I30" s="2">
        <f t="shared" si="1"/>
        <v>32198782.489999998</v>
      </c>
      <c r="J30" s="2">
        <f t="shared" si="2"/>
        <v>53130100.799999997</v>
      </c>
      <c r="K30" s="2">
        <f t="shared" si="3"/>
        <v>7.480000000000004</v>
      </c>
      <c r="L30" s="2">
        <f t="shared" si="3"/>
        <v>15.230000000000004</v>
      </c>
      <c r="M30">
        <f t="shared" si="4"/>
        <v>1695499.080000001</v>
      </c>
      <c r="N30">
        <f t="shared" si="5"/>
        <v>5784917.5100000016</v>
      </c>
    </row>
    <row r="31" spans="1:14" ht="15.5" x14ac:dyDescent="0.35">
      <c r="A31" t="s">
        <v>33</v>
      </c>
      <c r="B31" s="2">
        <v>89.85</v>
      </c>
      <c r="C31" s="2">
        <v>82.05</v>
      </c>
      <c r="D31" s="2">
        <v>85.52</v>
      </c>
      <c r="E31" s="3">
        <v>122691</v>
      </c>
      <c r="F31" s="3">
        <v>157058</v>
      </c>
      <c r="G31" s="3">
        <v>279749</v>
      </c>
      <c r="H31" s="2">
        <f t="shared" si="0"/>
        <v>11023786.35</v>
      </c>
      <c r="I31" s="2">
        <f t="shared" si="1"/>
        <v>12886608.9</v>
      </c>
      <c r="J31" s="2">
        <f t="shared" si="2"/>
        <v>23924134.48</v>
      </c>
      <c r="K31" s="2">
        <f t="shared" si="3"/>
        <v>10.150000000000006</v>
      </c>
      <c r="L31" s="2">
        <f t="shared" si="3"/>
        <v>17.950000000000003</v>
      </c>
      <c r="M31">
        <f t="shared" si="4"/>
        <v>1245313.6500000006</v>
      </c>
      <c r="N31">
        <f t="shared" si="5"/>
        <v>2819191.1000000006</v>
      </c>
    </row>
    <row r="32" spans="1:14" ht="15.5" x14ac:dyDescent="0.35">
      <c r="A32" t="s">
        <v>34</v>
      </c>
      <c r="B32" s="2">
        <v>89.27</v>
      </c>
      <c r="C32" s="2">
        <v>80.34</v>
      </c>
      <c r="D32" s="2">
        <v>82.09</v>
      </c>
      <c r="E32" s="3">
        <v>67430</v>
      </c>
      <c r="F32" s="3">
        <v>258991</v>
      </c>
      <c r="G32" s="3">
        <v>326421</v>
      </c>
      <c r="H32" s="2">
        <f t="shared" si="0"/>
        <v>6019476.0999999996</v>
      </c>
      <c r="I32" s="2">
        <f t="shared" si="1"/>
        <v>20807336.940000001</v>
      </c>
      <c r="J32" s="2">
        <f t="shared" si="2"/>
        <v>26795899.890000001</v>
      </c>
      <c r="K32" s="2">
        <f t="shared" si="3"/>
        <v>10.730000000000004</v>
      </c>
      <c r="L32" s="2">
        <f t="shared" si="3"/>
        <v>19.659999999999997</v>
      </c>
      <c r="M32">
        <f t="shared" si="4"/>
        <v>723523.90000000026</v>
      </c>
      <c r="N32">
        <f t="shared" si="5"/>
        <v>5091763.0599999987</v>
      </c>
    </row>
    <row r="33" spans="1:14" ht="15.5" x14ac:dyDescent="0.35">
      <c r="A33" t="s">
        <v>35</v>
      </c>
      <c r="B33" s="2">
        <v>91.26</v>
      </c>
      <c r="C33" s="2">
        <v>75.17</v>
      </c>
      <c r="D33" s="2">
        <v>82.36</v>
      </c>
      <c r="E33" s="3">
        <v>149747</v>
      </c>
      <c r="F33" s="3">
        <v>237716</v>
      </c>
      <c r="G33" s="3">
        <v>387463</v>
      </c>
      <c r="H33" s="2">
        <f t="shared" si="0"/>
        <v>13665911.220000001</v>
      </c>
      <c r="I33" s="2">
        <f t="shared" si="1"/>
        <v>17869111.719999999</v>
      </c>
      <c r="J33" s="2">
        <f t="shared" si="2"/>
        <v>31911452.68</v>
      </c>
      <c r="K33" s="2">
        <f t="shared" si="3"/>
        <v>8.7399999999999949</v>
      </c>
      <c r="L33" s="2">
        <f t="shared" si="3"/>
        <v>24.83</v>
      </c>
      <c r="M33">
        <f t="shared" si="4"/>
        <v>1308788.7799999993</v>
      </c>
      <c r="N33">
        <f t="shared" si="5"/>
        <v>5902488.2799999993</v>
      </c>
    </row>
    <row r="34" spans="1:14" ht="15.5" x14ac:dyDescent="0.35">
      <c r="A34" t="s">
        <v>36</v>
      </c>
      <c r="B34" s="2">
        <v>91.4</v>
      </c>
      <c r="C34" s="2">
        <v>72.19</v>
      </c>
      <c r="D34" s="2">
        <v>77.8</v>
      </c>
      <c r="E34" s="3">
        <v>75464</v>
      </c>
      <c r="F34" s="3">
        <v>196865</v>
      </c>
      <c r="G34" s="3">
        <v>272329</v>
      </c>
      <c r="H34" s="2">
        <f t="shared" si="0"/>
        <v>6897409.6000000006</v>
      </c>
      <c r="I34" s="2">
        <f t="shared" si="1"/>
        <v>14211684.35</v>
      </c>
      <c r="J34" s="2">
        <f t="shared" si="2"/>
        <v>21187196.199999999</v>
      </c>
      <c r="K34" s="2">
        <f t="shared" si="3"/>
        <v>8.5999999999999943</v>
      </c>
      <c r="L34" s="2">
        <f t="shared" si="3"/>
        <v>27.810000000000002</v>
      </c>
      <c r="M34">
        <f t="shared" si="4"/>
        <v>648990.39999999956</v>
      </c>
      <c r="N34">
        <f t="shared" si="5"/>
        <v>5474815.6500000004</v>
      </c>
    </row>
    <row r="35" spans="1:14" ht="15.5" x14ac:dyDescent="0.35">
      <c r="A35" t="s">
        <v>37</v>
      </c>
      <c r="B35" s="2">
        <v>91.52</v>
      </c>
      <c r="C35" s="2">
        <v>68.760000000000005</v>
      </c>
      <c r="D35" s="2">
        <v>78.319999999999993</v>
      </c>
      <c r="E35" s="3">
        <v>113109</v>
      </c>
      <c r="F35" s="3">
        <v>148580</v>
      </c>
      <c r="G35" s="3">
        <v>261689</v>
      </c>
      <c r="H35" s="2">
        <f t="shared" si="0"/>
        <v>10351735.68</v>
      </c>
      <c r="I35" s="2">
        <f t="shared" si="1"/>
        <v>10216360.800000001</v>
      </c>
      <c r="J35" s="2">
        <f t="shared" si="2"/>
        <v>20495482.479999997</v>
      </c>
      <c r="K35" s="2">
        <f t="shared" si="3"/>
        <v>8.480000000000004</v>
      </c>
      <c r="L35" s="2">
        <f t="shared" si="3"/>
        <v>31.239999999999995</v>
      </c>
      <c r="M35">
        <f t="shared" si="4"/>
        <v>959164.32000000041</v>
      </c>
      <c r="N35">
        <f t="shared" si="5"/>
        <v>4641639.1999999993</v>
      </c>
    </row>
    <row r="36" spans="1:14" ht="15.5" x14ac:dyDescent="0.35">
      <c r="A36" t="s">
        <v>38</v>
      </c>
      <c r="B36" s="2">
        <v>84.93</v>
      </c>
      <c r="C36" s="2">
        <v>17.25</v>
      </c>
      <c r="D36" s="2">
        <v>35.14</v>
      </c>
      <c r="E36" s="3">
        <v>302386</v>
      </c>
      <c r="F36" s="3">
        <v>726257</v>
      </c>
      <c r="G36" s="3">
        <v>1028643</v>
      </c>
      <c r="H36" s="2">
        <f t="shared" si="0"/>
        <v>25681642.98</v>
      </c>
      <c r="I36" s="2">
        <f t="shared" si="1"/>
        <v>12527933.25</v>
      </c>
      <c r="J36" s="2">
        <f t="shared" si="2"/>
        <v>36146515.020000003</v>
      </c>
      <c r="K36" s="2">
        <f t="shared" si="3"/>
        <v>15.069999999999993</v>
      </c>
      <c r="L36" s="2">
        <f t="shared" si="3"/>
        <v>82.75</v>
      </c>
      <c r="M36">
        <f t="shared" si="4"/>
        <v>4556957.0199999977</v>
      </c>
      <c r="N36">
        <f t="shared" si="5"/>
        <v>60097766.75</v>
      </c>
    </row>
    <row r="37" spans="1:14" ht="15.5" x14ac:dyDescent="0.35">
      <c r="B37" s="2"/>
      <c r="C37" s="2"/>
      <c r="D37" s="2"/>
      <c r="E37" s="2"/>
      <c r="F37" s="2"/>
      <c r="G37" s="2"/>
      <c r="H37" s="2"/>
    </row>
    <row r="38" spans="1:14" ht="15.5" x14ac:dyDescent="0.35"/>
    <row r="39" spans="1:14" ht="15.5" x14ac:dyDescent="0.35"/>
    <row r="40" spans="1:14" ht="15.5" x14ac:dyDescent="0.35"/>
    <row r="41" spans="1:14" ht="15.5" x14ac:dyDescent="0.35"/>
    <row r="42" spans="1:14" ht="15.5" x14ac:dyDescent="0.35"/>
  </sheetData>
  <mergeCells count="1">
    <mergeCell ref="E1:G1"/>
  </mergeCells>
  <pageMargins left="0.7" right="0.7" top="0.75" bottom="0.75" header="0.3" footer="0.3"/>
  <ignoredErrors>
    <ignoredError sqref="A36 A35 A2 A3 A4 A5 A6 A7 A8 A9 A10 A11 A12 A13 C13 A14 A15 A16 A17 A18 A19 A20 A21 A22 A23 A24 A25 A26 A27 A28 A29 A30 A31 A32 A33 A3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99776-A738-42E1-8975-92E99D70DE0A}">
  <dimension ref="A1:E36"/>
  <sheetViews>
    <sheetView tabSelected="1" workbookViewId="0">
      <selection activeCell="C9" sqref="C9"/>
    </sheetView>
  </sheetViews>
  <sheetFormatPr defaultRowHeight="15.5" x14ac:dyDescent="0.35"/>
  <cols>
    <col min="2" max="2" width="11.75" bestFit="1" customWidth="1"/>
  </cols>
  <sheetData>
    <row r="1" spans="1:5" x14ac:dyDescent="0.35">
      <c r="B1" t="s">
        <v>43</v>
      </c>
      <c r="D1" t="s">
        <v>45</v>
      </c>
    </row>
    <row r="2" spans="1:5" x14ac:dyDescent="0.35">
      <c r="A2" t="s">
        <v>44</v>
      </c>
      <c r="B2" t="s">
        <v>1</v>
      </c>
      <c r="C2" t="s">
        <v>2</v>
      </c>
      <c r="D2" t="s">
        <v>1</v>
      </c>
      <c r="E2" t="s">
        <v>2</v>
      </c>
    </row>
    <row r="3" spans="1:5" x14ac:dyDescent="0.35">
      <c r="A3" t="s">
        <v>4</v>
      </c>
      <c r="B3">
        <v>36792742.439999998</v>
      </c>
      <c r="C3">
        <v>65577797.460000001</v>
      </c>
      <c r="D3">
        <v>6169357.5599999996</v>
      </c>
      <c r="E3">
        <v>19743302.539999999</v>
      </c>
    </row>
    <row r="4" spans="1:5" x14ac:dyDescent="0.35">
      <c r="A4" t="s">
        <v>5</v>
      </c>
      <c r="B4">
        <v>174072229.45000002</v>
      </c>
      <c r="C4">
        <v>131026702.59999999</v>
      </c>
      <c r="D4">
        <v>19448870.549999993</v>
      </c>
      <c r="E4">
        <v>28179497.400000006</v>
      </c>
    </row>
    <row r="5" spans="1:5" x14ac:dyDescent="0.35">
      <c r="A5" t="s">
        <v>6</v>
      </c>
      <c r="B5">
        <v>58670188.559999995</v>
      </c>
      <c r="C5">
        <v>58224767.549999997</v>
      </c>
      <c r="D5">
        <v>5303411.4400000041</v>
      </c>
      <c r="E5">
        <v>11580732.450000003</v>
      </c>
    </row>
    <row r="6" spans="1:5" x14ac:dyDescent="0.35">
      <c r="A6" t="s">
        <v>7</v>
      </c>
      <c r="B6">
        <v>58533512.730000004</v>
      </c>
      <c r="C6">
        <v>85785159.849999994</v>
      </c>
      <c r="D6">
        <v>3782587.2699999958</v>
      </c>
      <c r="E6">
        <v>10548540.150000002</v>
      </c>
    </row>
    <row r="7" spans="1:5" x14ac:dyDescent="0.35">
      <c r="A7" t="s">
        <v>8</v>
      </c>
      <c r="B7">
        <v>27323931</v>
      </c>
      <c r="C7">
        <v>51640114.800000004</v>
      </c>
      <c r="D7">
        <v>2311568.9999999991</v>
      </c>
      <c r="E7">
        <v>9084385.1999999955</v>
      </c>
    </row>
    <row r="8" spans="1:5" x14ac:dyDescent="0.35">
      <c r="A8" t="s">
        <v>9</v>
      </c>
      <c r="B8">
        <v>69768892.599999994</v>
      </c>
      <c r="C8">
        <v>110745229.45</v>
      </c>
      <c r="D8">
        <v>6190707.4000000041</v>
      </c>
      <c r="E8">
        <v>23703270.549999993</v>
      </c>
    </row>
    <row r="9" spans="1:5" x14ac:dyDescent="0.35">
      <c r="A9" t="s">
        <v>10</v>
      </c>
      <c r="B9">
        <v>15889375.360000001</v>
      </c>
      <c r="C9">
        <v>28960562.950000003</v>
      </c>
      <c r="D9">
        <v>1153824.6399999994</v>
      </c>
      <c r="E9">
        <v>5868737.049999998</v>
      </c>
    </row>
    <row r="10" spans="1:5" x14ac:dyDescent="0.35">
      <c r="A10" t="s">
        <v>11</v>
      </c>
      <c r="B10">
        <v>66231831.740000002</v>
      </c>
      <c r="C10">
        <v>137967949.97999999</v>
      </c>
      <c r="D10">
        <v>6374868.2600000007</v>
      </c>
      <c r="E10">
        <v>21754150.020000007</v>
      </c>
    </row>
    <row r="11" spans="1:5" x14ac:dyDescent="0.35">
      <c r="A11" t="s">
        <v>12</v>
      </c>
      <c r="B11">
        <v>20389149.73</v>
      </c>
      <c r="C11">
        <v>13855981.1</v>
      </c>
      <c r="D11">
        <v>1852750.2699999996</v>
      </c>
      <c r="E11">
        <v>2006618.9000000008</v>
      </c>
    </row>
    <row r="12" spans="1:5" x14ac:dyDescent="0.35">
      <c r="A12" t="s">
        <v>13</v>
      </c>
      <c r="B12">
        <v>48406851.219999999</v>
      </c>
      <c r="C12">
        <v>6192259.9199999999</v>
      </c>
      <c r="D12">
        <v>1708948.7799999984</v>
      </c>
      <c r="E12">
        <v>1173340.0800000005</v>
      </c>
    </row>
    <row r="13" spans="1:5" x14ac:dyDescent="0.35">
      <c r="A13" t="s">
        <v>14</v>
      </c>
      <c r="B13">
        <v>266041660.71000001</v>
      </c>
      <c r="C13">
        <v>0</v>
      </c>
      <c r="D13">
        <v>12857239.289999999</v>
      </c>
      <c r="E13">
        <v>0</v>
      </c>
    </row>
    <row r="14" spans="1:5" x14ac:dyDescent="0.35">
      <c r="A14" t="s">
        <v>16</v>
      </c>
      <c r="B14">
        <v>897420902.98000002</v>
      </c>
      <c r="C14">
        <v>248108943.38999999</v>
      </c>
      <c r="D14">
        <v>97171697.019999966</v>
      </c>
      <c r="E14">
        <v>68639356.609999999</v>
      </c>
    </row>
    <row r="15" spans="1:5" x14ac:dyDescent="0.35">
      <c r="A15" t="s">
        <v>17</v>
      </c>
      <c r="B15">
        <v>451904515.02000004</v>
      </c>
      <c r="C15">
        <v>422911650.14999998</v>
      </c>
      <c r="D15">
        <v>49209384.979999967</v>
      </c>
      <c r="E15">
        <v>68103849.850000024</v>
      </c>
    </row>
    <row r="16" spans="1:5" x14ac:dyDescent="0.35">
      <c r="A16" t="s">
        <v>18</v>
      </c>
      <c r="B16">
        <v>75934935.019999996</v>
      </c>
      <c r="C16">
        <v>24348175.41</v>
      </c>
      <c r="D16">
        <v>7896964.9800000014</v>
      </c>
      <c r="E16">
        <v>4606724.5899999989</v>
      </c>
    </row>
    <row r="17" spans="1:5" x14ac:dyDescent="0.35">
      <c r="A17" t="s">
        <v>19</v>
      </c>
      <c r="B17">
        <v>539662725.89999998</v>
      </c>
      <c r="C17">
        <v>424568553.68000001</v>
      </c>
      <c r="D17">
        <v>69093874.099999964</v>
      </c>
      <c r="E17">
        <v>101408346.32000001</v>
      </c>
    </row>
    <row r="18" spans="1:5" x14ac:dyDescent="0.35">
      <c r="A18" t="s">
        <v>20</v>
      </c>
      <c r="B18">
        <v>206736464.16</v>
      </c>
      <c r="C18">
        <v>65555660.939999998</v>
      </c>
      <c r="D18">
        <v>13570935.839999992</v>
      </c>
      <c r="E18">
        <v>13646539.060000002</v>
      </c>
    </row>
    <row r="19" spans="1:5" x14ac:dyDescent="0.35">
      <c r="A19" t="s">
        <v>21</v>
      </c>
      <c r="B19">
        <v>73424300.760000005</v>
      </c>
      <c r="C19">
        <v>32607338.900000002</v>
      </c>
      <c r="D19">
        <v>4869899.2399999993</v>
      </c>
      <c r="E19">
        <v>5713661.0999999987</v>
      </c>
    </row>
    <row r="20" spans="1:5" x14ac:dyDescent="0.35">
      <c r="A20" t="s">
        <v>22</v>
      </c>
      <c r="B20">
        <v>63807200.240000002</v>
      </c>
      <c r="C20">
        <v>57642276.160000004</v>
      </c>
      <c r="D20">
        <v>11650699.759999998</v>
      </c>
      <c r="E20">
        <v>19173123.839999996</v>
      </c>
    </row>
    <row r="21" spans="1:5" x14ac:dyDescent="0.35">
      <c r="A21" t="s">
        <v>23</v>
      </c>
      <c r="B21">
        <v>28215524.48</v>
      </c>
      <c r="C21">
        <v>59461737.919999994</v>
      </c>
      <c r="D21">
        <v>2614375.5200000014</v>
      </c>
      <c r="E21">
        <v>28033462.080000006</v>
      </c>
    </row>
    <row r="22" spans="1:5" x14ac:dyDescent="0.35">
      <c r="A22" t="s">
        <v>24</v>
      </c>
      <c r="B22">
        <v>42346458.560000002</v>
      </c>
      <c r="C22">
        <v>66700215.920000002</v>
      </c>
      <c r="D22">
        <v>3622341.4399999981</v>
      </c>
      <c r="E22">
        <v>16095484.079999998</v>
      </c>
    </row>
    <row r="23" spans="1:5" x14ac:dyDescent="0.35">
      <c r="A23" t="s">
        <v>25</v>
      </c>
      <c r="B23">
        <v>27722207.07</v>
      </c>
      <c r="C23">
        <v>32500458.899999999</v>
      </c>
      <c r="D23">
        <v>2115492.9300000011</v>
      </c>
      <c r="E23">
        <v>8613341.1000000015</v>
      </c>
    </row>
    <row r="24" spans="1:5" x14ac:dyDescent="0.35">
      <c r="A24" t="s">
        <v>26</v>
      </c>
      <c r="B24">
        <v>48723315.549999997</v>
      </c>
      <c r="C24">
        <v>49215293.210000001</v>
      </c>
      <c r="D24">
        <v>5203984.450000003</v>
      </c>
      <c r="E24">
        <v>9256006.7899999991</v>
      </c>
    </row>
    <row r="25" spans="1:5" x14ac:dyDescent="0.35">
      <c r="A25" t="s">
        <v>27</v>
      </c>
      <c r="B25">
        <v>61900482.960000001</v>
      </c>
      <c r="C25">
        <v>27374238.079999998</v>
      </c>
      <c r="D25">
        <v>3665117.0400000024</v>
      </c>
      <c r="E25">
        <v>3044961.9200000018</v>
      </c>
    </row>
    <row r="26" spans="1:5" x14ac:dyDescent="0.35">
      <c r="A26" t="s">
        <v>28</v>
      </c>
      <c r="B26">
        <v>10236950.5</v>
      </c>
      <c r="C26">
        <v>5242053.04</v>
      </c>
      <c r="D26">
        <v>322049.49999999971</v>
      </c>
      <c r="E26">
        <v>607146.95999999973</v>
      </c>
    </row>
    <row r="27" spans="1:5" x14ac:dyDescent="0.35">
      <c r="A27" t="s">
        <v>29</v>
      </c>
      <c r="B27">
        <v>31893674.359999999</v>
      </c>
      <c r="C27">
        <v>24813850.66</v>
      </c>
      <c r="D27">
        <v>4698425.6400000015</v>
      </c>
      <c r="E27">
        <v>6572249.3399999989</v>
      </c>
    </row>
    <row r="28" spans="1:5" x14ac:dyDescent="0.35">
      <c r="A28" t="s">
        <v>30</v>
      </c>
      <c r="B28">
        <v>20468339.400000002</v>
      </c>
      <c r="C28">
        <v>38831077.589999996</v>
      </c>
      <c r="D28">
        <v>2118660.5999999992</v>
      </c>
      <c r="E28">
        <v>10780622.410000002</v>
      </c>
    </row>
    <row r="29" spans="1:5" x14ac:dyDescent="0.35">
      <c r="A29" t="s">
        <v>31</v>
      </c>
      <c r="B29">
        <v>84921669.219999999</v>
      </c>
      <c r="C29">
        <v>101312390.7</v>
      </c>
      <c r="D29">
        <v>7364430.780000004</v>
      </c>
      <c r="E29">
        <v>17724609.300000001</v>
      </c>
    </row>
    <row r="30" spans="1:5" x14ac:dyDescent="0.35">
      <c r="A30" t="s">
        <v>32</v>
      </c>
      <c r="B30">
        <v>20971600.919999998</v>
      </c>
      <c r="C30">
        <v>32198782.489999998</v>
      </c>
      <c r="D30">
        <v>1695499.080000001</v>
      </c>
      <c r="E30">
        <v>5784917.5100000016</v>
      </c>
    </row>
    <row r="31" spans="1:5" x14ac:dyDescent="0.35">
      <c r="A31" t="s">
        <v>33</v>
      </c>
      <c r="B31">
        <v>11023786.35</v>
      </c>
      <c r="C31">
        <v>12886608.9</v>
      </c>
      <c r="D31">
        <v>1245313.6500000006</v>
      </c>
      <c r="E31">
        <v>2819191.1000000006</v>
      </c>
    </row>
    <row r="32" spans="1:5" x14ac:dyDescent="0.35">
      <c r="A32" t="s">
        <v>34</v>
      </c>
      <c r="B32">
        <v>6019476.0999999996</v>
      </c>
      <c r="C32">
        <v>20807336.940000001</v>
      </c>
      <c r="D32">
        <v>723523.90000000026</v>
      </c>
      <c r="E32">
        <v>5091763.0599999987</v>
      </c>
    </row>
    <row r="33" spans="1:5" x14ac:dyDescent="0.35">
      <c r="A33" t="s">
        <v>35</v>
      </c>
      <c r="B33">
        <v>13665911.220000001</v>
      </c>
      <c r="C33">
        <v>17869111.719999999</v>
      </c>
      <c r="D33">
        <v>1308788.7799999993</v>
      </c>
      <c r="E33">
        <v>5902488.2799999993</v>
      </c>
    </row>
    <row r="34" spans="1:5" x14ac:dyDescent="0.35">
      <c r="A34" t="s">
        <v>36</v>
      </c>
      <c r="B34">
        <v>6897409.6000000006</v>
      </c>
      <c r="C34">
        <v>14211684.35</v>
      </c>
      <c r="D34">
        <v>648990.39999999956</v>
      </c>
      <c r="E34">
        <v>5474815.6500000004</v>
      </c>
    </row>
    <row r="35" spans="1:5" x14ac:dyDescent="0.35">
      <c r="A35" t="s">
        <v>37</v>
      </c>
      <c r="B35">
        <v>10351735.68</v>
      </c>
      <c r="C35">
        <v>10216360.800000001</v>
      </c>
      <c r="D35">
        <v>959164.32000000041</v>
      </c>
      <c r="E35">
        <v>4641639.1999999993</v>
      </c>
    </row>
    <row r="36" spans="1:5" x14ac:dyDescent="0.35">
      <c r="A36" t="s">
        <v>38</v>
      </c>
      <c r="B36">
        <v>25681642.98</v>
      </c>
      <c r="C36">
        <v>12527933.25</v>
      </c>
      <c r="D36">
        <v>4556957.0199999977</v>
      </c>
      <c r="E36">
        <v>60097766.75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Evelyn Tan</cp:lastModifiedBy>
  <dcterms:modified xsi:type="dcterms:W3CDTF">2026-10-04T23:36:11Z</dcterms:modified>
</cp:coreProperties>
</file>